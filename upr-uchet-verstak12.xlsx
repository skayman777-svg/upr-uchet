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Дашборд" sheetId="1" state="visible" r:id="rId3"/>
    <sheet name="Справочники" sheetId="2" state="visible" r:id="rId4"/>
    <sheet name="Операции" sheetId="3" state="visible" r:id="rId5"/>
    <sheet name="Сводка по месяцам" sheetId="4" state="visible" r:id="rId6"/>
  </sheets>
  <definedNames>
    <definedName function="false" hidden="true" localSheetId="2" name="_xlnm._FilterDatabase" vbProcedure="false">Операции!$A$2:$H$401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<sst xmlns="http://schemas.openxmlformats.org/spreadsheetml/2006/main" count="1711" uniqueCount="200">
  <si>
    <t xml:space="preserve">Столярная мастерская «Верстак-12» · дашборд 2025</t>
  </si>
  <si>
    <t xml:space="preserve">Выручка за год</t>
  </si>
  <si>
    <t xml:space="preserve">Расходы за год</t>
  </si>
  <si>
    <t xml:space="preserve">Чистая прибыль</t>
  </si>
  <si>
    <t xml:space="preserve">Рентабельность</t>
  </si>
  <si>
    <t xml:space="preserve">Лучший месяц по прибыли</t>
  </si>
  <si>
    <t xml:space="preserve">Деньги на 31.12</t>
  </si>
  <si>
    <t xml:space="preserve">Структура расходов</t>
  </si>
  <si>
    <t xml:space="preserve">Переменные</t>
  </si>
  <si>
    <t xml:space="preserve">Постоянные</t>
  </si>
  <si>
    <t xml:space="preserve">Налоги</t>
  </si>
  <si>
    <t xml:space="preserve">Столярная мастерская «Верстак-12» · справочники</t>
  </si>
  <si>
    <t xml:space="preserve">Статья</t>
  </si>
  <si>
    <t xml:space="preserve">Тип</t>
  </si>
  <si>
    <t xml:space="preserve">Группа</t>
  </si>
  <si>
    <t xml:space="preserve">Направление</t>
  </si>
  <si>
    <t xml:space="preserve">Счёт</t>
  </si>
  <si>
    <t xml:space="preserve">Остаток на 01.01</t>
  </si>
  <si>
    <t xml:space="preserve">Продажа кухонь</t>
  </si>
  <si>
    <t xml:space="preserve">Доход</t>
  </si>
  <si>
    <t xml:space="preserve">Выручка</t>
  </si>
  <si>
    <t xml:space="preserve">Кухни</t>
  </si>
  <si>
    <t xml:space="preserve">Расчётный счёт</t>
  </si>
  <si>
    <t xml:space="preserve">Продажа шкафов</t>
  </si>
  <si>
    <t xml:space="preserve">Шкафы и гардеробные</t>
  </si>
  <si>
    <t xml:space="preserve">Касса</t>
  </si>
  <si>
    <t xml:space="preserve">Мелкая мебель</t>
  </si>
  <si>
    <t xml:space="preserve">Карта</t>
  </si>
  <si>
    <t xml:space="preserve">Монтаж и доставка</t>
  </si>
  <si>
    <t xml:space="preserve">—</t>
  </si>
  <si>
    <t xml:space="preserve">Итого</t>
  </si>
  <si>
    <t xml:space="preserve">Материалы (ЛДСП, фасады)</t>
  </si>
  <si>
    <t xml:space="preserve">Расход</t>
  </si>
  <si>
    <t xml:space="preserve">Фурнитура</t>
  </si>
  <si>
    <t xml:space="preserve">Сдельная оплата сборщиков</t>
  </si>
  <si>
    <t xml:space="preserve">Транспорт</t>
  </si>
  <si>
    <t xml:space="preserve">Зарплата (оклады)</t>
  </si>
  <si>
    <t xml:space="preserve">Аренда цеха</t>
  </si>
  <si>
    <t xml:space="preserve">Коммунальные услуги</t>
  </si>
  <si>
    <t xml:space="preserve">Реклама</t>
  </si>
  <si>
    <t xml:space="preserve">Инструмент и ремонт</t>
  </si>
  <si>
    <t xml:space="preserve">Бухгалтерия и банк</t>
  </si>
  <si>
    <t xml:space="preserve">Налоги (УСН)</t>
  </si>
  <si>
    <t xml:space="preserve">Новую статью добавляйте в конец списка статей: она появится в выпадающем списке и попадёт в сводку после добавления строки на лист «Сводка по месяцам».</t>
  </si>
  <si>
    <t xml:space="preserve">Столярная мастерская «Верстак-12» · журнал операций</t>
  </si>
  <si>
    <t xml:space="preserve">Дата</t>
  </si>
  <si>
    <t xml:space="preserve">Сумма</t>
  </si>
  <si>
    <t xml:space="preserve">Комментарий</t>
  </si>
  <si>
    <t xml:space="preserve">Месяц</t>
  </si>
  <si>
    <t xml:space="preserve">Розница</t>
  </si>
  <si>
    <t xml:space="preserve">Заказ Ш-476</t>
  </si>
  <si>
    <t xml:space="preserve">Аренда, 240 м²</t>
  </si>
  <si>
    <t xml:space="preserve">Заказ Ш-625</t>
  </si>
  <si>
    <t xml:space="preserve">Контекстная реклама</t>
  </si>
  <si>
    <t xml:space="preserve">Заказ К-671</t>
  </si>
  <si>
    <t xml:space="preserve">Доставка заказов</t>
  </si>
  <si>
    <t xml:space="preserve">Поставка плит и фасадов</t>
  </si>
  <si>
    <t xml:space="preserve">Оклады за прошлый месяц</t>
  </si>
  <si>
    <t xml:space="preserve">Заказ Ш-917</t>
  </si>
  <si>
    <t xml:space="preserve">Поставка фурнитуры</t>
  </si>
  <si>
    <t xml:space="preserve">Заказ К-111</t>
  </si>
  <si>
    <t xml:space="preserve">Монтаж</t>
  </si>
  <si>
    <t xml:space="preserve">Заказ К-807</t>
  </si>
  <si>
    <t xml:space="preserve">Электроэнергия, вода</t>
  </si>
  <si>
    <t xml:space="preserve">Заказ К-380</t>
  </si>
  <si>
    <t xml:space="preserve">Заказ К-782</t>
  </si>
  <si>
    <t xml:space="preserve">Расходники, заточка</t>
  </si>
  <si>
    <t xml:space="preserve">Аутсорс-бухгалтерия, РКО</t>
  </si>
  <si>
    <t xml:space="preserve">Сдельно за месяц</t>
  </si>
  <si>
    <t xml:space="preserve">Заказ Ш-160</t>
  </si>
  <si>
    <t xml:space="preserve">Заказ Ш-353</t>
  </si>
  <si>
    <t xml:space="preserve">Заказ К-543</t>
  </si>
  <si>
    <t xml:space="preserve">Заказ К-626</t>
  </si>
  <si>
    <t xml:space="preserve">Заказ Ш-662</t>
  </si>
  <si>
    <t xml:space="preserve">Заказ К-447</t>
  </si>
  <si>
    <t xml:space="preserve">Заказ Ш-721</t>
  </si>
  <si>
    <t xml:space="preserve">Заказ Ш-283</t>
  </si>
  <si>
    <t xml:space="preserve">Заказ К-716</t>
  </si>
  <si>
    <t xml:space="preserve">Заказ Ш-124</t>
  </si>
  <si>
    <t xml:space="preserve">Заказ Ш-345</t>
  </si>
  <si>
    <t xml:space="preserve">Заказ Ш-464</t>
  </si>
  <si>
    <t xml:space="preserve">Заказ К-317</t>
  </si>
  <si>
    <t xml:space="preserve">Заказ Ш-783</t>
  </si>
  <si>
    <t xml:space="preserve">Заказ Ш-737</t>
  </si>
  <si>
    <t xml:space="preserve">Заказ К-912</t>
  </si>
  <si>
    <t xml:space="preserve">Заказ Ш-435</t>
  </si>
  <si>
    <t xml:space="preserve">Заказ К-603</t>
  </si>
  <si>
    <t xml:space="preserve">Заказ Ш-245</t>
  </si>
  <si>
    <t xml:space="preserve">Заказ К-461</t>
  </si>
  <si>
    <t xml:space="preserve">Заказ К-795</t>
  </si>
  <si>
    <t xml:space="preserve">Заказ Ш-418</t>
  </si>
  <si>
    <t xml:space="preserve">Заказ Ш-474</t>
  </si>
  <si>
    <t xml:space="preserve">Заказ К-365</t>
  </si>
  <si>
    <t xml:space="preserve">Заказ Ш-212</t>
  </si>
  <si>
    <t xml:space="preserve">Заказ К-509</t>
  </si>
  <si>
    <t xml:space="preserve">Заказ К-887</t>
  </si>
  <si>
    <t xml:space="preserve">Заказ Ш-989</t>
  </si>
  <si>
    <t xml:space="preserve">Заказ К-774</t>
  </si>
  <si>
    <t xml:space="preserve">Заказ Ш-979</t>
  </si>
  <si>
    <t xml:space="preserve">Аванс УСН</t>
  </si>
  <si>
    <t xml:space="preserve">Заказ К-487</t>
  </si>
  <si>
    <t xml:space="preserve">Заказ Ш-866</t>
  </si>
  <si>
    <t xml:space="preserve">Заказ Ш-852</t>
  </si>
  <si>
    <t xml:space="preserve">Заказ К-956</t>
  </si>
  <si>
    <t xml:space="preserve">Заказ К-533</t>
  </si>
  <si>
    <t xml:space="preserve">Заказ К-456</t>
  </si>
  <si>
    <t xml:space="preserve">Заказ К-131</t>
  </si>
  <si>
    <t xml:space="preserve">Заказ Ш-707</t>
  </si>
  <si>
    <t xml:space="preserve">Заказ Ш-533</t>
  </si>
  <si>
    <t xml:space="preserve">Заказ Ш-919</t>
  </si>
  <si>
    <t xml:space="preserve">Заказ Ш-744</t>
  </si>
  <si>
    <t xml:space="preserve">Заказ Ш-275</t>
  </si>
  <si>
    <t xml:space="preserve">Заказ Ш-267</t>
  </si>
  <si>
    <t xml:space="preserve">Заказ Ш-168</t>
  </si>
  <si>
    <t xml:space="preserve">Заказ К-483</t>
  </si>
  <si>
    <t xml:space="preserve">Заказ К-735</t>
  </si>
  <si>
    <t xml:space="preserve">Заказ К-570</t>
  </si>
  <si>
    <t xml:space="preserve">Заказ Ш-954</t>
  </si>
  <si>
    <t xml:space="preserve">Заказ Ш-143</t>
  </si>
  <si>
    <t xml:space="preserve">Заказ Ш-403</t>
  </si>
  <si>
    <t xml:space="preserve">Заказ К-438</t>
  </si>
  <si>
    <t xml:space="preserve">Заказ Ш-211</t>
  </si>
  <si>
    <t xml:space="preserve">Заказ К-228</t>
  </si>
  <si>
    <t xml:space="preserve">Заказ К-489</t>
  </si>
  <si>
    <t xml:space="preserve">Заказ К-414</t>
  </si>
  <si>
    <t xml:space="preserve">Заказ Ш-467</t>
  </si>
  <si>
    <t xml:space="preserve">Заказ К-940</t>
  </si>
  <si>
    <t xml:space="preserve">Заказ Ш-957</t>
  </si>
  <si>
    <t xml:space="preserve">Заказ Ш-910</t>
  </si>
  <si>
    <t xml:space="preserve">Заказ Ш-546</t>
  </si>
  <si>
    <t xml:space="preserve">Заказ К-297</t>
  </si>
  <si>
    <t xml:space="preserve">Заказ К-362</t>
  </si>
  <si>
    <t xml:space="preserve">Заказ К-679</t>
  </si>
  <si>
    <t xml:space="preserve">Заказ Ш-776</t>
  </si>
  <si>
    <t xml:space="preserve">Заказ К-196</t>
  </si>
  <si>
    <t xml:space="preserve">Заказ К-524</t>
  </si>
  <si>
    <t xml:space="preserve">Заказ Ш-374</t>
  </si>
  <si>
    <t xml:space="preserve">Заказ Ш-482</t>
  </si>
  <si>
    <t xml:space="preserve">Заказ К-109</t>
  </si>
  <si>
    <t xml:space="preserve">Заказ Ш-224</t>
  </si>
  <si>
    <t xml:space="preserve">Заказ Ш-425</t>
  </si>
  <si>
    <t xml:space="preserve">Заказ К-642</t>
  </si>
  <si>
    <t xml:space="preserve">Заказ К-672</t>
  </si>
  <si>
    <t xml:space="preserve">Заказ Ш-724</t>
  </si>
  <si>
    <t xml:space="preserve">Заказ Ш-851</t>
  </si>
  <si>
    <t xml:space="preserve">Заказ Ш-951</t>
  </si>
  <si>
    <t xml:space="preserve">Заказ К-381</t>
  </si>
  <si>
    <t xml:space="preserve">Заказ Ш-788</t>
  </si>
  <si>
    <t xml:space="preserve">Заказ Ш-886</t>
  </si>
  <si>
    <t xml:space="preserve">Заказ К-266</t>
  </si>
  <si>
    <t xml:space="preserve">Заказ К-353</t>
  </si>
  <si>
    <t xml:space="preserve">Заказ К-366</t>
  </si>
  <si>
    <t xml:space="preserve">Заказ К-658</t>
  </si>
  <si>
    <t xml:space="preserve">Заказ Ш-444</t>
  </si>
  <si>
    <t xml:space="preserve">Заказ К-804</t>
  </si>
  <si>
    <t xml:space="preserve">Заказ Ш-605</t>
  </si>
  <si>
    <t xml:space="preserve">Заказ Ш-148</t>
  </si>
  <si>
    <t xml:space="preserve">Заказ Ш-238</t>
  </si>
  <si>
    <t xml:space="preserve">Заказ Ш-417</t>
  </si>
  <si>
    <t xml:space="preserve">Заказ К-812</t>
  </si>
  <si>
    <t xml:space="preserve">Заказ К-808</t>
  </si>
  <si>
    <t xml:space="preserve">Заказ Ш-426</t>
  </si>
  <si>
    <t xml:space="preserve">Заказ Ш-180</t>
  </si>
  <si>
    <t xml:space="preserve">Заказ К-978</t>
  </si>
  <si>
    <t xml:space="preserve">Заказ К-260</t>
  </si>
  <si>
    <t xml:space="preserve">Заказ Ш-274</t>
  </si>
  <si>
    <t xml:space="preserve">Заказ Ш-663</t>
  </si>
  <si>
    <t xml:space="preserve">Заказ Ш-837</t>
  </si>
  <si>
    <t xml:space="preserve">Заказ К-235</t>
  </si>
  <si>
    <t xml:space="preserve">Заказ К-609</t>
  </si>
  <si>
    <t xml:space="preserve">Заказ К-417</t>
  </si>
  <si>
    <t xml:space="preserve">Заказ К-349</t>
  </si>
  <si>
    <t xml:space="preserve">Заказ К-107</t>
  </si>
  <si>
    <t xml:space="preserve">Заказ Ш-778</t>
  </si>
  <si>
    <t xml:space="preserve">Заказ Ш-312</t>
  </si>
  <si>
    <t xml:space="preserve">Заказ Ш-387</t>
  </si>
  <si>
    <t xml:space="preserve">Заказ Ш-992</t>
  </si>
  <si>
    <t xml:space="preserve">Заказ К-193</t>
  </si>
  <si>
    <t xml:space="preserve">Заказ Ш-248</t>
  </si>
  <si>
    <t xml:space="preserve">Заказ К-741</t>
  </si>
  <si>
    <t xml:space="preserve">Заказ К-717</t>
  </si>
  <si>
    <t xml:space="preserve">Заказ Ш-221</t>
  </si>
  <si>
    <t xml:space="preserve">Заказ К-977</t>
  </si>
  <si>
    <t xml:space="preserve">Заказ Ш-479</t>
  </si>
  <si>
    <t xml:space="preserve">Заказ Ш-392</t>
  </si>
  <si>
    <t xml:space="preserve">УСН за 4 квартал</t>
  </si>
  <si>
    <t xml:space="preserve">Столярная мастерская «Верстак-12» · сводка за 2025 год, формулы СУММЕСЛИМН</t>
  </si>
  <si>
    <t xml:space="preserve">Показатель</t>
  </si>
  <si>
    <t xml:space="preserve">Итого за год</t>
  </si>
  <si>
    <t xml:space="preserve">ДОХОДЫ</t>
  </si>
  <si>
    <t xml:space="preserve">Итого доходы</t>
  </si>
  <si>
    <t xml:space="preserve">РАСХОДЫ</t>
  </si>
  <si>
    <t xml:space="preserve">Итого расходы</t>
  </si>
  <si>
    <t xml:space="preserve">РЕЗУЛЬТАТ</t>
  </si>
  <si>
    <t xml:space="preserve">Переменные расходы</t>
  </si>
  <si>
    <t xml:space="preserve">Маржинальная прибыль</t>
  </si>
  <si>
    <t xml:space="preserve">Остаток денег на конец месяца</t>
  </si>
  <si>
    <t xml:space="preserve">ВЫРУЧКА ПО НАПРАВЛЕНИЯМ</t>
  </si>
  <si>
    <t xml:space="preserve">ПРОВЕРКА</t>
  </si>
  <si>
    <t xml:space="preserve">Операции без статьи в справочнике, шт.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</si>
</sst>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₽&quot;;[RED]\-#,##0&quot; ₽&quot;"/>
    <numFmt numFmtId="166" formatCode="0.0%"/>
    <numFmt numFmtId="167" formatCode="mmmm"/>
    <numFmt numFmtId="168" formatCode="#,##0"/>
    <numFmt numFmtId="169" formatCode="dd\.mm\.yyyy"/>
    <numFmt numFmtId="170" formatCode="mmm\ yyyy"/>
    <numFmt numFmtId="171" formatCode="mmm\ yy"/>
    <numFmt numFmtId="172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A34"/>
      <name val="Cambria"/>
      <family val="0"/>
      <charset val="1"/>
    </font>
    <font>
      <sz val="10"/>
      <color rgb="FF56706A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1F3A3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i val="true"/>
      <sz val="11"/>
      <color rgb="FF56706A"/>
      <name val="Cambria"/>
      <family val="0"/>
      <charset val="1"/>
    </font>
    <font>
      <b val="true"/>
      <sz val="11"/>
      <color rgb="FF0F7A6C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A6C"/>
        <bgColor rgb="FF008080"/>
      </patternFill>
    </fill>
    <fill>
      <patternFill patternType="solid">
        <fgColor rgb="FFE3F1ED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7A6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6C"/>
      <rgbColor rgb="FFC0C0C0"/>
      <rgbColor rgb="FF878787"/>
      <rgbColor rgb="FF9999FF"/>
      <rgbColor rgb="FF993366"/>
      <rgbColor rgb="FFFFFFCC"/>
      <rgbColor rgb="FFE3F1ED"/>
      <rgbColor rgb="FF660066"/>
      <rgbColor rgb="FFE0A3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FBFB3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670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Доходы и расходы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'Сводка по месяцам'!A9</c:f>
              <c:strCache>
                <c:ptCount val="1"/>
                <c:pt idx="0">
                  <c:v>Итого доходы</c:v>
                </c:pt>
              </c:strCache>
            </c:strRef>
          </c:tx>
          <c:spPr>
            <a:solidFill>
              <a:srgbClr val="0f7a6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месяцам'!$B$9:$M$9</c:f>
              <c:numCache>
                <c:formatCode>#,##0" ₽";[RED]\-#,##0" ₽"</c:formatCode>
                <c:ptCount val="12"/>
                <c:pt idx="0">
                  <c:v>1146200</c:v>
                </c:pt>
                <c:pt idx="1">
                  <c:v>1248400</c:v>
                </c:pt>
                <c:pt idx="2">
                  <c:v>1799400</c:v>
                </c:pt>
                <c:pt idx="3">
                  <c:v>1868900</c:v>
                </c:pt>
                <c:pt idx="4">
                  <c:v>1247900</c:v>
                </c:pt>
                <c:pt idx="5">
                  <c:v>1623400</c:v>
                </c:pt>
                <c:pt idx="6">
                  <c:v>1623200</c:v>
                </c:pt>
                <c:pt idx="7">
                  <c:v>1772000</c:v>
                </c:pt>
                <c:pt idx="8">
                  <c:v>1819200</c:v>
                </c:pt>
                <c:pt idx="9">
                  <c:v>2370200</c:v>
                </c:pt>
                <c:pt idx="10">
                  <c:v>2411400</c:v>
                </c:pt>
                <c:pt idx="11">
                  <c:v>1401200</c:v>
                </c:pt>
              </c:numCache>
            </c:numRef>
          </c:val>
        </c:ser>
        <c:ser>
          <c:idx val="1"/>
          <c:order val="1"/>
          <c:tx>
            <c:strRef>
              <c:f>'Сводка по месяцам'!A22</c:f>
              <c:strCache>
                <c:ptCount val="1"/>
                <c:pt idx="0">
                  <c:v>Итого расходы</c:v>
                </c:pt>
              </c:strCache>
            </c:strRef>
          </c:tx>
          <c:spPr>
            <a:solidFill>
              <a:srgbClr val="e0a3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месяцам'!$B$22:$M$22</c:f>
              <c:numCache>
                <c:formatCode>#,##0" ₽";[RED]\-#,##0" ₽"</c:formatCode>
                <c:ptCount val="12"/>
                <c:pt idx="0">
                  <c:v>953100</c:v>
                </c:pt>
                <c:pt idx="1">
                  <c:v>1024800</c:v>
                </c:pt>
                <c:pt idx="2">
                  <c:v>1280700</c:v>
                </c:pt>
                <c:pt idx="3">
                  <c:v>1604200</c:v>
                </c:pt>
                <c:pt idx="4">
                  <c:v>1019000</c:v>
                </c:pt>
                <c:pt idx="5">
                  <c:v>1179800</c:v>
                </c:pt>
                <c:pt idx="6">
                  <c:v>1488700</c:v>
                </c:pt>
                <c:pt idx="7">
                  <c:v>1314500</c:v>
                </c:pt>
                <c:pt idx="8">
                  <c:v>1366400</c:v>
                </c:pt>
                <c:pt idx="9">
                  <c:v>1910200</c:v>
                </c:pt>
                <c:pt idx="10">
                  <c:v>1554400</c:v>
                </c:pt>
                <c:pt idx="11">
                  <c:v>1479400</c:v>
                </c:pt>
              </c:numCache>
            </c:numRef>
          </c:val>
        </c:ser>
        <c:gapWidth val="150"/>
        <c:overlap val="0"/>
        <c:axId val="62950658"/>
        <c:axId val="22128009"/>
      </c:barChart>
      <c:catAx>
        <c:axId val="62950658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28009"/>
        <c:crosses val="autoZero"/>
        <c:auto val="1"/>
        <c:lblAlgn val="ctr"/>
        <c:lblOffset val="100"/>
        <c:noMultiLvlLbl val="0"/>
      </c:catAx>
      <c:valAx>
        <c:axId val="2212800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506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Чистая прибыль и остаток денег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'Сводка по месяцам'!A26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rgbClr val="0f7a6c"/>
            </a:solidFill>
            <a:ln w="28440">
              <a:solidFill>
                <a:srgbClr val="0f7a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месяцам'!$B$26:$M$26</c:f>
              <c:numCache>
                <c:formatCode>#,##0" ₽";[RED]\-#,##0" ₽"</c:formatCode>
                <c:ptCount val="12"/>
                <c:pt idx="0">
                  <c:v>193100</c:v>
                </c:pt>
                <c:pt idx="1">
                  <c:v>223600</c:v>
                </c:pt>
                <c:pt idx="2">
                  <c:v>518700</c:v>
                </c:pt>
                <c:pt idx="3">
                  <c:v>264700</c:v>
                </c:pt>
                <c:pt idx="4">
                  <c:v>228900</c:v>
                </c:pt>
                <c:pt idx="5">
                  <c:v>443600</c:v>
                </c:pt>
                <c:pt idx="6">
                  <c:v>134500</c:v>
                </c:pt>
                <c:pt idx="7">
                  <c:v>457500</c:v>
                </c:pt>
                <c:pt idx="8">
                  <c:v>452800</c:v>
                </c:pt>
                <c:pt idx="9">
                  <c:v>460000</c:v>
                </c:pt>
                <c:pt idx="10">
                  <c:v>857000</c:v>
                </c:pt>
                <c:pt idx="11">
                  <c:v>-78200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'Сводка по месяцам'!A28</c:f>
              <c:strCache>
                <c:ptCount val="1"/>
                <c:pt idx="0">
                  <c:v>Остаток денег на конец месяца</c:v>
                </c:pt>
              </c:strCache>
            </c:strRef>
          </c:tx>
          <c:spPr>
            <a:solidFill>
              <a:srgbClr val="56706a"/>
            </a:solidFill>
            <a:ln w="28440">
              <a:solidFill>
                <a:srgbClr val="5670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месяцам'!$B$28:$M$28</c:f>
              <c:numCache>
                <c:formatCode>#,##0" ₽";[RED]\-#,##0" ₽"</c:formatCode>
                <c:ptCount val="12"/>
                <c:pt idx="0">
                  <c:v>708100</c:v>
                </c:pt>
                <c:pt idx="1">
                  <c:v>931700</c:v>
                </c:pt>
                <c:pt idx="2">
                  <c:v>1450400</c:v>
                </c:pt>
                <c:pt idx="3">
                  <c:v>1715100</c:v>
                </c:pt>
                <c:pt idx="4">
                  <c:v>1944000</c:v>
                </c:pt>
                <c:pt idx="5">
                  <c:v>2387600</c:v>
                </c:pt>
                <c:pt idx="6">
                  <c:v>2522100</c:v>
                </c:pt>
                <c:pt idx="7">
                  <c:v>2979600</c:v>
                </c:pt>
                <c:pt idx="8">
                  <c:v>3432400</c:v>
                </c:pt>
                <c:pt idx="9">
                  <c:v>3892400</c:v>
                </c:pt>
                <c:pt idx="10">
                  <c:v>4749400</c:v>
                </c:pt>
                <c:pt idx="11">
                  <c:v>4671200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658745"/>
        <c:axId val="25509771"/>
      </c:lineChart>
      <c:catAx>
        <c:axId val="51658745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09771"/>
        <c:crosses val="autoZero"/>
        <c:auto val="1"/>
        <c:lblAlgn val="ctr"/>
        <c:lblOffset val="100"/>
        <c:noMultiLvlLbl val="0"/>
      </c:catAx>
      <c:valAx>
        <c:axId val="25509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587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Структура расходов за год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7a6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a36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6706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Дашборд!$O$4:$O$6</c:f>
              <c:strCache>
                <c:ptCount val="3"/>
                <c:pt idx="0">
                  <c:v>Переменные</c:v>
                </c:pt>
                <c:pt idx="1">
                  <c:v>Постоянные</c:v>
                </c:pt>
                <c:pt idx="2">
                  <c:v>Налоги</c:v>
                </c:pt>
              </c:strCache>
            </c:strRef>
          </c:cat>
          <c:val>
            <c:numRef>
              <c:f>Дашборд!$P$4:$P$6</c:f>
              <c:numCache>
                <c:formatCode>#,##0" ₽";[RED]\-#,##0" ₽"</c:formatCode>
                <c:ptCount val="3"/>
                <c:pt idx="0">
                  <c:v>10444100</c:v>
                </c:pt>
                <c:pt idx="1">
                  <c:v>4511200</c:v>
                </c:pt>
                <c:pt idx="2">
                  <c:v>1219900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по направлениям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'Сводка по месяцам'!A31</c:f>
              <c:strCache>
                <c:ptCount val="1"/>
                <c:pt idx="0">
                  <c:v>Кухни</c:v>
                </c:pt>
              </c:strCache>
            </c:strRef>
          </c:tx>
          <c:spPr>
            <a:solidFill>
              <a:srgbClr val="0f7a6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месяцам'!$B$31:$M$31</c:f>
              <c:numCache>
                <c:formatCode>#,##0" ₽";[RED]\-#,##0" ₽"</c:formatCode>
                <c:ptCount val="12"/>
                <c:pt idx="0">
                  <c:v>820300</c:v>
                </c:pt>
                <c:pt idx="1">
                  <c:v>658700</c:v>
                </c:pt>
                <c:pt idx="2">
                  <c:v>1016600</c:v>
                </c:pt>
                <c:pt idx="3">
                  <c:v>1183800</c:v>
                </c:pt>
                <c:pt idx="4">
                  <c:v>713300</c:v>
                </c:pt>
                <c:pt idx="5">
                  <c:v>931000</c:v>
                </c:pt>
                <c:pt idx="6">
                  <c:v>1077100</c:v>
                </c:pt>
                <c:pt idx="7">
                  <c:v>1125700</c:v>
                </c:pt>
                <c:pt idx="8">
                  <c:v>1191200</c:v>
                </c:pt>
                <c:pt idx="9">
                  <c:v>1383100</c:v>
                </c:pt>
                <c:pt idx="10">
                  <c:v>1388600</c:v>
                </c:pt>
                <c:pt idx="11">
                  <c:v>765800</c:v>
                </c:pt>
              </c:numCache>
            </c:numRef>
          </c:val>
        </c:ser>
        <c:ser>
          <c:idx val="1"/>
          <c:order val="1"/>
          <c:tx>
            <c:strRef>
              <c:f>'Сводка по месяцам'!A32</c:f>
              <c:strCache>
                <c:ptCount val="1"/>
                <c:pt idx="0">
                  <c:v>Шкафы и гардеробные</c:v>
                </c:pt>
              </c:strCache>
            </c:strRef>
          </c:tx>
          <c:spPr>
            <a:solidFill>
              <a:srgbClr val="7fbfb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месяцам'!$B$32:$M$32</c:f>
              <c:numCache>
                <c:formatCode>#,##0" ₽";[RED]\-#,##0" ₽"</c:formatCode>
                <c:ptCount val="12"/>
                <c:pt idx="0">
                  <c:v>302800</c:v>
                </c:pt>
                <c:pt idx="1">
                  <c:v>495800</c:v>
                </c:pt>
                <c:pt idx="2">
                  <c:v>713400</c:v>
                </c:pt>
                <c:pt idx="3">
                  <c:v>622200</c:v>
                </c:pt>
                <c:pt idx="4">
                  <c:v>446400</c:v>
                </c:pt>
                <c:pt idx="5">
                  <c:v>630300</c:v>
                </c:pt>
                <c:pt idx="6">
                  <c:v>442900</c:v>
                </c:pt>
                <c:pt idx="7">
                  <c:v>502700</c:v>
                </c:pt>
                <c:pt idx="8">
                  <c:v>558200</c:v>
                </c:pt>
                <c:pt idx="9">
                  <c:v>865300</c:v>
                </c:pt>
                <c:pt idx="10">
                  <c:v>846900</c:v>
                </c:pt>
                <c:pt idx="11">
                  <c:v>582700</c:v>
                </c:pt>
              </c:numCache>
            </c:numRef>
          </c:val>
        </c:ser>
        <c:ser>
          <c:idx val="2"/>
          <c:order val="2"/>
          <c:tx>
            <c:strRef>
              <c:f>'Сводка по месяцам'!A33</c:f>
              <c:strCache>
                <c:ptCount val="1"/>
                <c:pt idx="0">
                  <c:v>Мелкая мебель</c:v>
                </c:pt>
              </c:strCache>
            </c:strRef>
          </c:tx>
          <c:spPr>
            <a:solidFill>
              <a:srgbClr val="e0a3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'Сводка по месяцам'!$B$3:$M$3</c:f>
              <c:strCache>
                <c:ptCount val="12"/>
                <c:pt idx="0">
                  <c:v>Jan 25</c:v>
                </c:pt>
                <c:pt idx="1">
                  <c:v>Feb 25</c:v>
                </c:pt>
                <c:pt idx="2">
                  <c:v>Mar 25</c:v>
                </c:pt>
                <c:pt idx="3">
                  <c:v>Apr 25</c:v>
                </c:pt>
                <c:pt idx="4">
                  <c:v>May 25</c:v>
                </c:pt>
                <c:pt idx="5">
                  <c:v>Jun 25</c:v>
                </c:pt>
                <c:pt idx="6">
                  <c:v>Jul 25</c:v>
                </c:pt>
                <c:pt idx="7">
                  <c:v>Aug 25</c:v>
                </c:pt>
                <c:pt idx="8">
                  <c:v>Sep 25</c:v>
                </c:pt>
                <c:pt idx="9">
                  <c:v>Oct 25</c:v>
                </c:pt>
                <c:pt idx="10">
                  <c:v>Nov 25</c:v>
                </c:pt>
                <c:pt idx="11">
                  <c:v>Dec 25</c:v>
                </c:pt>
              </c:strCache>
            </c:strRef>
          </c:cat>
          <c:val>
            <c:numRef>
              <c:f>'Сводка по месяцам'!$B$33:$M$33</c:f>
              <c:numCache>
                <c:formatCode>#,##0" ₽";[RED]\-#,##0" ₽"</c:formatCode>
                <c:ptCount val="12"/>
                <c:pt idx="0">
                  <c:v>23100</c:v>
                </c:pt>
                <c:pt idx="1">
                  <c:v>93900</c:v>
                </c:pt>
                <c:pt idx="2">
                  <c:v>69400</c:v>
                </c:pt>
                <c:pt idx="3">
                  <c:v>62900</c:v>
                </c:pt>
                <c:pt idx="4">
                  <c:v>88200</c:v>
                </c:pt>
                <c:pt idx="5">
                  <c:v>62100</c:v>
                </c:pt>
                <c:pt idx="6">
                  <c:v>103200</c:v>
                </c:pt>
                <c:pt idx="7">
                  <c:v>143600</c:v>
                </c:pt>
                <c:pt idx="8">
                  <c:v>69800</c:v>
                </c:pt>
                <c:pt idx="9">
                  <c:v>121800</c:v>
                </c:pt>
                <c:pt idx="10">
                  <c:v>175900</c:v>
                </c:pt>
                <c:pt idx="11">
                  <c:v>52700</c:v>
                </c:pt>
              </c:numCache>
            </c:numRef>
          </c:val>
        </c:ser>
        <c:gapWidth val="150"/>
        <c:overlap val="100"/>
        <c:axId val="51691862"/>
        <c:axId val="40869602"/>
      </c:barChart>
      <c:catAx>
        <c:axId val="51691862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69602"/>
        <c:crosses val="autoZero"/>
        <c:auto val="1"/>
        <c:lblAlgn val="ctr"/>
        <c:lblOffset val="100"/>
        <c:noMultiLvlLbl val="0"/>
      </c:catAx>
      <c:valAx>
        <c:axId val="40869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918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130680</xdr:rowOff>
    </xdr:from>
    <xdr:to>
      <xdr:col>8</xdr:col>
      <xdr:colOff>480960</xdr:colOff>
      <xdr:row>20</xdr:row>
      <xdr:rowOff>153000</xdr:rowOff>
    </xdr:to>
    <xdr:graphicFrame>
      <xdr:nvGraphicFramePr>
        <xdr:cNvPr id="0" name="Chart 1"/>
        <xdr:cNvGraphicFramePr/>
      </xdr:nvGraphicFramePr>
      <xdr:xfrm>
        <a:off x="0" y="11430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</xdr:row>
      <xdr:rowOff>130680</xdr:rowOff>
    </xdr:from>
    <xdr:to>
      <xdr:col>18</xdr:col>
      <xdr:colOff>8640</xdr:colOff>
      <xdr:row>20</xdr:row>
      <xdr:rowOff>153000</xdr:rowOff>
    </xdr:to>
    <xdr:graphicFrame>
      <xdr:nvGraphicFramePr>
        <xdr:cNvPr id="1" name="Chart 2"/>
        <xdr:cNvGraphicFramePr/>
      </xdr:nvGraphicFramePr>
      <xdr:xfrm>
        <a:off x="6837120" y="11430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131040</xdr:rowOff>
    </xdr:from>
    <xdr:to>
      <xdr:col>6</xdr:col>
      <xdr:colOff>90360</xdr:colOff>
      <xdr:row>37</xdr:row>
      <xdr:rowOff>153000</xdr:rowOff>
    </xdr:to>
    <xdr:graphicFrame>
      <xdr:nvGraphicFramePr>
        <xdr:cNvPr id="2" name="Chart 3"/>
        <xdr:cNvGraphicFramePr/>
      </xdr:nvGraphicFramePr>
      <xdr:xfrm>
        <a:off x="0" y="4381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22</xdr:row>
      <xdr:rowOff>131040</xdr:rowOff>
    </xdr:from>
    <xdr:to>
      <xdr:col>18</xdr:col>
      <xdr:colOff>398880</xdr:colOff>
      <xdr:row>37</xdr:row>
      <xdr:rowOff>153000</xdr:rowOff>
    </xdr:to>
    <xdr:graphicFrame>
      <xdr:nvGraphicFramePr>
        <xdr:cNvPr id="3" name="Chart 4"/>
        <xdr:cNvGraphicFramePr/>
      </xdr:nvGraphicFramePr>
      <xdr:xfrm>
        <a:off x="5427360" y="4381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"/>
    <col collapsed="false" customWidth="true" hidden="false" outlineLevel="0" max="3" min="3" style="0" width="17"/>
    <col collapsed="false" customWidth="true" hidden="false" outlineLevel="0" max="4" min="4" style="0" width="3"/>
    <col collapsed="false" customWidth="true" hidden="false" outlineLevel="0" max="5" min="5" style="0" width="17"/>
    <col collapsed="false" customWidth="true" hidden="false" outlineLevel="0" max="6" min="6" style="0" width="3"/>
    <col collapsed="false" customWidth="true" hidden="false" outlineLevel="0" max="7" min="7" style="0" width="17"/>
    <col collapsed="false" customWidth="true" hidden="false" outlineLevel="0" max="8" min="8" style="0" width="3"/>
    <col collapsed="false" customWidth="true" hidden="false" outlineLevel="0" max="9" min="9" style="0" width="17"/>
    <col collapsed="false" customWidth="true" hidden="false" outlineLevel="0" max="10" min="10" style="0" width="3"/>
    <col collapsed="false" customWidth="true" hidden="false" outlineLevel="0" max="11" min="11" style="0" width="17"/>
    <col collapsed="false" customWidth="true" hidden="false" outlineLevel="0" max="12" min="12" style="0" width="3"/>
    <col collapsed="false" customWidth="true" hidden="false" outlineLevel="0" max="15" min="15" style="0" width="14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2" t="s">
        <v>2</v>
      </c>
      <c r="E3" s="2" t="s">
        <v>3</v>
      </c>
      <c r="G3" s="2" t="s">
        <v>4</v>
      </c>
      <c r="I3" s="2" t="s">
        <v>5</v>
      </c>
      <c r="K3" s="2" t="s">
        <v>6</v>
      </c>
      <c r="O3" s="3" t="s">
        <v>7</v>
      </c>
    </row>
    <row r="4" customFormat="false" ht="19.7" hidden="false" customHeight="false" outlineLevel="0" collapsed="false">
      <c r="A4" s="4" t="n">
        <f aca="false">'Сводка по месяцам'!N9</f>
        <v>20331400</v>
      </c>
      <c r="C4" s="4" t="n">
        <f aca="false">'Сводка по месяцам'!N22</f>
        <v>16175200</v>
      </c>
      <c r="E4" s="4" t="n">
        <f aca="false">'Сводка по месяцам'!N26</f>
        <v>4156200</v>
      </c>
      <c r="G4" s="5" t="n">
        <f aca="false">'Сводка по месяцам'!N27</f>
        <v>0.204422715602467</v>
      </c>
      <c r="I4" s="6" t="n">
        <f aca="false">INDEX('Сводка по месяцам'!B3:M3,MATCH(MAX('Сводка по месяцам'!B26:M26),'Сводка по месяцам'!B26:M26,0))</f>
        <v>45962</v>
      </c>
      <c r="K4" s="4" t="n">
        <f aca="false">'Сводка по месяцам'!N28</f>
        <v>4671200</v>
      </c>
      <c r="O4" s="7" t="s">
        <v>8</v>
      </c>
      <c r="P4" s="8" t="n">
        <f aca="false">SUMPRODUCT(SUMIFS(Операции!$E$3:$E$1000,Операции!$B$3:$B$1000,Справочники!$A$4:$A$18)*(Справочники!$C$4:$C$18="Переменные"))</f>
        <v>10444100</v>
      </c>
    </row>
    <row r="5" customFormat="false" ht="15" hidden="false" customHeight="false" outlineLevel="0" collapsed="false">
      <c r="O5" s="0" t="s">
        <v>9</v>
      </c>
      <c r="P5" s="8" t="n">
        <f aca="false">SUMPRODUCT(SUMIFS(Операции!$E$3:$E$1000,Операции!$B$3:$B$1000,Справочники!$A$4:$A$18)*(Справочники!$C$4:$C$18="Постоянные"))</f>
        <v>4511200</v>
      </c>
    </row>
    <row r="6" customFormat="false" ht="15" hidden="false" customHeight="false" outlineLevel="0" collapsed="false">
      <c r="O6" s="0" t="s">
        <v>10</v>
      </c>
      <c r="P6" s="8" t="n">
        <f aca="false">SUMPRODUCT(SUMIFS(Операции!$E$3:$E$1000,Операции!$B$3:$B$1000,Справочники!$A$4:$A$18)*(Справочники!$C$4:$C$18="Налоги"))</f>
        <v>1219900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3"/>
    <col collapsed="false" customWidth="true" hidden="false" outlineLevel="0" max="8" min="7" style="0" width="18"/>
  </cols>
  <sheetData>
    <row r="1" customFormat="false" ht="15" hidden="false" customHeight="false" outlineLevel="0" collapsed="false">
      <c r="A1" s="1" t="s">
        <v>11</v>
      </c>
    </row>
    <row r="3" customFormat="false" ht="28.35" hidden="false" customHeight="false" outlineLevel="0" collapsed="false">
      <c r="A3" s="9" t="s">
        <v>12</v>
      </c>
      <c r="B3" s="9" t="s">
        <v>13</v>
      </c>
      <c r="C3" s="9" t="s">
        <v>14</v>
      </c>
      <c r="E3" s="9" t="s">
        <v>15</v>
      </c>
      <c r="G3" s="9" t="s">
        <v>16</v>
      </c>
      <c r="H3" s="9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E4" s="0" t="s">
        <v>21</v>
      </c>
      <c r="G4" s="0" t="s">
        <v>22</v>
      </c>
      <c r="H4" s="8" t="n">
        <v>420000</v>
      </c>
    </row>
    <row r="5" customFormat="false" ht="15" hidden="false" customHeight="false" outlineLevel="0" collapsed="false">
      <c r="A5" s="0" t="s">
        <v>23</v>
      </c>
      <c r="B5" s="0" t="s">
        <v>19</v>
      </c>
      <c r="C5" s="0" t="s">
        <v>20</v>
      </c>
      <c r="E5" s="0" t="s">
        <v>24</v>
      </c>
      <c r="G5" s="0" t="s">
        <v>25</v>
      </c>
      <c r="H5" s="8" t="n">
        <v>35000</v>
      </c>
    </row>
    <row r="6" customFormat="false" ht="15" hidden="false" customHeight="false" outlineLevel="0" collapsed="false">
      <c r="A6" s="0" t="s">
        <v>26</v>
      </c>
      <c r="B6" s="0" t="s">
        <v>19</v>
      </c>
      <c r="C6" s="0" t="s">
        <v>20</v>
      </c>
      <c r="E6" s="0" t="s">
        <v>26</v>
      </c>
      <c r="G6" s="0" t="s">
        <v>27</v>
      </c>
      <c r="H6" s="8" t="n">
        <v>60000</v>
      </c>
    </row>
    <row r="7" customFormat="false" ht="15" hidden="false" customHeight="false" outlineLevel="0" collapsed="false">
      <c r="A7" s="0" t="s">
        <v>28</v>
      </c>
      <c r="B7" s="0" t="s">
        <v>19</v>
      </c>
      <c r="C7" s="0" t="s">
        <v>20</v>
      </c>
      <c r="E7" s="0" t="s">
        <v>29</v>
      </c>
      <c r="G7" s="3" t="s">
        <v>30</v>
      </c>
      <c r="H7" s="10" t="n">
        <f aca="false">SUM(H4:H6)</f>
        <v>515000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8</v>
      </c>
    </row>
    <row r="9" customFormat="false" ht="15" hidden="false" customHeight="false" outlineLevel="0" collapsed="false">
      <c r="A9" s="0" t="s">
        <v>33</v>
      </c>
      <c r="B9" s="0" t="s">
        <v>32</v>
      </c>
      <c r="C9" s="0" t="s">
        <v>8</v>
      </c>
    </row>
    <row r="10" customFormat="false" ht="15" hidden="false" customHeight="false" outlineLevel="0" collapsed="false">
      <c r="A10" s="0" t="s">
        <v>34</v>
      </c>
      <c r="B10" s="0" t="s">
        <v>32</v>
      </c>
      <c r="C10" s="0" t="s">
        <v>8</v>
      </c>
    </row>
    <row r="11" customFormat="false" ht="15" hidden="false" customHeight="false" outlineLevel="0" collapsed="false">
      <c r="A11" s="0" t="s">
        <v>35</v>
      </c>
      <c r="B11" s="0" t="s">
        <v>32</v>
      </c>
      <c r="C11" s="0" t="s">
        <v>8</v>
      </c>
    </row>
    <row r="12" customFormat="false" ht="15" hidden="false" customHeight="false" outlineLevel="0" collapsed="false">
      <c r="A12" s="0" t="s">
        <v>36</v>
      </c>
      <c r="B12" s="0" t="s">
        <v>32</v>
      </c>
      <c r="C12" s="0" t="s">
        <v>9</v>
      </c>
    </row>
    <row r="13" customFormat="false" ht="15" hidden="false" customHeight="false" outlineLevel="0" collapsed="false">
      <c r="A13" s="0" t="s">
        <v>37</v>
      </c>
      <c r="B13" s="0" t="s">
        <v>32</v>
      </c>
      <c r="C13" s="0" t="s">
        <v>9</v>
      </c>
    </row>
    <row r="14" customFormat="false" ht="15" hidden="false" customHeight="false" outlineLevel="0" collapsed="false">
      <c r="A14" s="0" t="s">
        <v>38</v>
      </c>
      <c r="B14" s="0" t="s">
        <v>32</v>
      </c>
      <c r="C14" s="0" t="s">
        <v>9</v>
      </c>
    </row>
    <row r="15" customFormat="false" ht="15" hidden="false" customHeight="false" outlineLevel="0" collapsed="false">
      <c r="A15" s="0" t="s">
        <v>39</v>
      </c>
      <c r="B15" s="0" t="s">
        <v>32</v>
      </c>
      <c r="C15" s="0" t="s">
        <v>9</v>
      </c>
    </row>
    <row r="16" customFormat="false" ht="15" hidden="false" customHeight="false" outlineLevel="0" collapsed="false">
      <c r="A16" s="0" t="s">
        <v>40</v>
      </c>
      <c r="B16" s="0" t="s">
        <v>32</v>
      </c>
      <c r="C16" s="0" t="s">
        <v>9</v>
      </c>
    </row>
    <row r="17" customFormat="false" ht="15" hidden="false" customHeight="false" outlineLevel="0" collapsed="false">
      <c r="A17" s="0" t="s">
        <v>41</v>
      </c>
      <c r="B17" s="0" t="s">
        <v>32</v>
      </c>
      <c r="C17" s="0" t="s">
        <v>9</v>
      </c>
    </row>
    <row r="18" customFormat="false" ht="15" hidden="false" customHeight="false" outlineLevel="0" collapsed="false">
      <c r="A18" s="0" t="s">
        <v>42</v>
      </c>
      <c r="B18" s="0" t="s">
        <v>32</v>
      </c>
      <c r="C18" s="0" t="s">
        <v>10</v>
      </c>
    </row>
    <row r="21" customFormat="false" ht="15" hidden="false" customHeight="false" outlineLevel="0" collapsed="false">
      <c r="A21" s="1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9" t="s">
        <v>45</v>
      </c>
      <c r="B2" s="9" t="s">
        <v>12</v>
      </c>
      <c r="C2" s="9" t="s">
        <v>15</v>
      </c>
      <c r="D2" s="9" t="s">
        <v>16</v>
      </c>
      <c r="E2" s="9" t="s">
        <v>46</v>
      </c>
      <c r="F2" s="9" t="s">
        <v>47</v>
      </c>
      <c r="G2" s="9" t="s">
        <v>13</v>
      </c>
      <c r="H2" s="9" t="s">
        <v>48</v>
      </c>
    </row>
    <row r="3" customFormat="false" ht="15" hidden="false" customHeight="false" outlineLevel="0" collapsed="false">
      <c r="A3" s="12" t="n">
        <v>45659</v>
      </c>
      <c r="B3" s="7" t="s">
        <v>26</v>
      </c>
      <c r="C3" s="7" t="s">
        <v>26</v>
      </c>
      <c r="D3" s="7" t="s">
        <v>25</v>
      </c>
      <c r="E3" s="8" t="n">
        <v>6800</v>
      </c>
      <c r="F3" s="7" t="s">
        <v>49</v>
      </c>
      <c r="G3" s="0" t="str">
        <f aca="false">IF(B3="","",IFERROR(VLOOKUP(B3,Справочники!$A$4:$C$18,2,FALSE()),"нет в справочнике"))</f>
        <v>Доход</v>
      </c>
      <c r="H3" s="13" t="n">
        <f aca="false">IF(A3="","",DATE(YEAR(A3),MONTH(A3),1))</f>
        <v>45658</v>
      </c>
    </row>
    <row r="4" customFormat="false" ht="15" hidden="false" customHeight="false" outlineLevel="0" collapsed="false">
      <c r="A4" s="12" t="n">
        <v>45662</v>
      </c>
      <c r="B4" s="7" t="s">
        <v>23</v>
      </c>
      <c r="C4" s="7" t="s">
        <v>24</v>
      </c>
      <c r="D4" s="7" t="s">
        <v>27</v>
      </c>
      <c r="E4" s="8" t="n">
        <v>81300</v>
      </c>
      <c r="F4" s="7" t="s">
        <v>50</v>
      </c>
      <c r="G4" s="0" t="str">
        <f aca="false">IF(B4="","",IFERROR(VLOOKUP(B4,Справочники!$A$4:$C$18,2,FALSE()),"нет в справочнике"))</f>
        <v>Доход</v>
      </c>
      <c r="H4" s="13" t="n">
        <f aca="false">IF(A4="","",DATE(YEAR(A4),MONTH(A4),1))</f>
        <v>45658</v>
      </c>
    </row>
    <row r="5" customFormat="false" ht="15" hidden="false" customHeight="false" outlineLevel="0" collapsed="false">
      <c r="A5" s="12" t="n">
        <v>45662</v>
      </c>
      <c r="B5" s="7" t="s">
        <v>37</v>
      </c>
      <c r="C5" s="7" t="s">
        <v>29</v>
      </c>
      <c r="D5" s="7" t="s">
        <v>22</v>
      </c>
      <c r="E5" s="8" t="n">
        <v>85000</v>
      </c>
      <c r="F5" s="7" t="s">
        <v>51</v>
      </c>
      <c r="G5" s="0" t="str">
        <f aca="false">IF(B5="","",IFERROR(VLOOKUP(B5,Справочники!$A$4:$C$18,2,FALSE()),"нет в справочнике"))</f>
        <v>Расход</v>
      </c>
      <c r="H5" s="13" t="n">
        <f aca="false">IF(A5="","",DATE(YEAR(A5),MONTH(A5),1))</f>
        <v>45658</v>
      </c>
    </row>
    <row r="6" customFormat="false" ht="15" hidden="false" customHeight="false" outlineLevel="0" collapsed="false">
      <c r="A6" s="12" t="n">
        <v>45664</v>
      </c>
      <c r="B6" s="7" t="s">
        <v>23</v>
      </c>
      <c r="C6" s="7" t="s">
        <v>24</v>
      </c>
      <c r="D6" s="7" t="s">
        <v>22</v>
      </c>
      <c r="E6" s="8" t="n">
        <v>76400</v>
      </c>
      <c r="F6" s="7" t="s">
        <v>52</v>
      </c>
      <c r="G6" s="0" t="str">
        <f aca="false">IF(B6="","",IFERROR(VLOOKUP(B6,Справочники!$A$4:$C$18,2,FALSE()),"нет в справочнике"))</f>
        <v>Доход</v>
      </c>
      <c r="H6" s="13" t="n">
        <f aca="false">IF(A6="","",DATE(YEAR(A6),MONTH(A6),1))</f>
        <v>45658</v>
      </c>
    </row>
    <row r="7" customFormat="false" ht="15" hidden="false" customHeight="false" outlineLevel="0" collapsed="false">
      <c r="A7" s="12" t="n">
        <v>45664</v>
      </c>
      <c r="B7" s="7" t="s">
        <v>39</v>
      </c>
      <c r="C7" s="7" t="s">
        <v>29</v>
      </c>
      <c r="D7" s="7" t="s">
        <v>27</v>
      </c>
      <c r="E7" s="8" t="n">
        <v>40400</v>
      </c>
      <c r="F7" s="7" t="s">
        <v>53</v>
      </c>
      <c r="G7" s="0" t="str">
        <f aca="false">IF(B7="","",IFERROR(VLOOKUP(B7,Справочники!$A$4:$C$18,2,FALSE()),"нет в справочнике"))</f>
        <v>Расход</v>
      </c>
      <c r="H7" s="13" t="n">
        <f aca="false">IF(A7="","",DATE(YEAR(A7),MONTH(A7),1))</f>
        <v>45658</v>
      </c>
    </row>
    <row r="8" customFormat="false" ht="15" hidden="false" customHeight="false" outlineLevel="0" collapsed="false">
      <c r="A8" s="12" t="n">
        <v>45665</v>
      </c>
      <c r="B8" s="7" t="s">
        <v>18</v>
      </c>
      <c r="C8" s="7" t="s">
        <v>21</v>
      </c>
      <c r="D8" s="7" t="s">
        <v>22</v>
      </c>
      <c r="E8" s="8" t="n">
        <v>175500</v>
      </c>
      <c r="F8" s="7" t="s">
        <v>54</v>
      </c>
      <c r="G8" s="0" t="str">
        <f aca="false">IF(B8="","",IFERROR(VLOOKUP(B8,Справочники!$A$4:$C$18,2,FALSE()),"нет в справочнике"))</f>
        <v>Доход</v>
      </c>
      <c r="H8" s="13" t="n">
        <f aca="false">IF(A8="","",DATE(YEAR(A8),MONTH(A8),1))</f>
        <v>45658</v>
      </c>
    </row>
    <row r="9" customFormat="false" ht="15" hidden="false" customHeight="false" outlineLevel="0" collapsed="false">
      <c r="A9" s="12" t="n">
        <v>45665</v>
      </c>
      <c r="B9" s="7" t="s">
        <v>35</v>
      </c>
      <c r="C9" s="7" t="s">
        <v>24</v>
      </c>
      <c r="D9" s="7" t="s">
        <v>27</v>
      </c>
      <c r="E9" s="8" t="n">
        <v>30700</v>
      </c>
      <c r="F9" s="7" t="s">
        <v>55</v>
      </c>
      <c r="G9" s="0" t="str">
        <f aca="false">IF(B9="","",IFERROR(VLOOKUP(B9,Справочники!$A$4:$C$18,2,FALSE()),"нет в справочнике"))</f>
        <v>Расход</v>
      </c>
      <c r="H9" s="13" t="n">
        <f aca="false">IF(A9="","",DATE(YEAR(A9),MONTH(A9),1))</f>
        <v>45658</v>
      </c>
    </row>
    <row r="10" customFormat="false" ht="15" hidden="false" customHeight="false" outlineLevel="0" collapsed="false">
      <c r="A10" s="12" t="n">
        <v>45667</v>
      </c>
      <c r="B10" s="7" t="s">
        <v>31</v>
      </c>
      <c r="C10" s="7" t="s">
        <v>21</v>
      </c>
      <c r="D10" s="7" t="s">
        <v>22</v>
      </c>
      <c r="E10" s="8" t="n">
        <v>79100</v>
      </c>
      <c r="F10" s="7" t="s">
        <v>56</v>
      </c>
      <c r="G10" s="0" t="str">
        <f aca="false">IF(B10="","",IFERROR(VLOOKUP(B10,Справочники!$A$4:$C$18,2,FALSE()),"нет в справочнике"))</f>
        <v>Расход</v>
      </c>
      <c r="H10" s="13" t="n">
        <f aca="false">IF(A10="","",DATE(YEAR(A10),MONTH(A10),1))</f>
        <v>45658</v>
      </c>
    </row>
    <row r="11" customFormat="false" ht="15" hidden="false" customHeight="false" outlineLevel="0" collapsed="false">
      <c r="A11" s="12" t="n">
        <v>45667</v>
      </c>
      <c r="B11" s="7" t="s">
        <v>36</v>
      </c>
      <c r="C11" s="7" t="s">
        <v>29</v>
      </c>
      <c r="D11" s="7" t="s">
        <v>22</v>
      </c>
      <c r="E11" s="8" t="n">
        <v>210000</v>
      </c>
      <c r="F11" s="7" t="s">
        <v>57</v>
      </c>
      <c r="G11" s="0" t="str">
        <f aca="false">IF(B11="","",IFERROR(VLOOKUP(B11,Справочники!$A$4:$C$18,2,FALSE()),"нет в справочнике"))</f>
        <v>Расход</v>
      </c>
      <c r="H11" s="13" t="n">
        <f aca="false">IF(A11="","",DATE(YEAR(A11),MONTH(A11),1))</f>
        <v>45658</v>
      </c>
    </row>
    <row r="12" customFormat="false" ht="15" hidden="false" customHeight="false" outlineLevel="0" collapsed="false">
      <c r="A12" s="12" t="n">
        <v>45668</v>
      </c>
      <c r="B12" s="7" t="s">
        <v>23</v>
      </c>
      <c r="C12" s="7" t="s">
        <v>24</v>
      </c>
      <c r="D12" s="7" t="s">
        <v>27</v>
      </c>
      <c r="E12" s="8" t="n">
        <v>82800</v>
      </c>
      <c r="F12" s="7" t="s">
        <v>58</v>
      </c>
      <c r="G12" s="0" t="str">
        <f aca="false">IF(B12="","",IFERROR(VLOOKUP(B12,Справочники!$A$4:$C$18,2,FALSE()),"нет в справочнике"))</f>
        <v>Доход</v>
      </c>
      <c r="H12" s="13" t="n">
        <f aca="false">IF(A12="","",DATE(YEAR(A12),MONTH(A12),1))</f>
        <v>45658</v>
      </c>
    </row>
    <row r="13" customFormat="false" ht="15" hidden="false" customHeight="false" outlineLevel="0" collapsed="false">
      <c r="A13" s="12" t="n">
        <v>45669</v>
      </c>
      <c r="B13" s="7" t="s">
        <v>31</v>
      </c>
      <c r="C13" s="7" t="s">
        <v>24</v>
      </c>
      <c r="D13" s="7" t="s">
        <v>22</v>
      </c>
      <c r="E13" s="8" t="n">
        <v>83000</v>
      </c>
      <c r="F13" s="7" t="s">
        <v>56</v>
      </c>
      <c r="G13" s="0" t="str">
        <f aca="false">IF(B13="","",IFERROR(VLOOKUP(B13,Справочники!$A$4:$C$18,2,FALSE()),"нет в справочнике"))</f>
        <v>Расход</v>
      </c>
      <c r="H13" s="13" t="n">
        <f aca="false">IF(A13="","",DATE(YEAR(A13),MONTH(A13),1))</f>
        <v>45658</v>
      </c>
    </row>
    <row r="14" customFormat="false" ht="15" hidden="false" customHeight="false" outlineLevel="0" collapsed="false">
      <c r="A14" s="12" t="n">
        <v>45669</v>
      </c>
      <c r="B14" s="7" t="s">
        <v>33</v>
      </c>
      <c r="C14" s="7" t="s">
        <v>24</v>
      </c>
      <c r="D14" s="7" t="s">
        <v>22</v>
      </c>
      <c r="E14" s="8" t="n">
        <v>33400</v>
      </c>
      <c r="F14" s="7" t="s">
        <v>59</v>
      </c>
      <c r="G14" s="0" t="str">
        <f aca="false">IF(B14="","",IFERROR(VLOOKUP(B14,Справочники!$A$4:$C$18,2,FALSE()),"нет в справочнике"))</f>
        <v>Расход</v>
      </c>
      <c r="H14" s="13" t="n">
        <f aca="false">IF(A14="","",DATE(YEAR(A14),MONTH(A14),1))</f>
        <v>45658</v>
      </c>
    </row>
    <row r="15" customFormat="false" ht="15" hidden="false" customHeight="false" outlineLevel="0" collapsed="false">
      <c r="A15" s="12" t="n">
        <v>45670</v>
      </c>
      <c r="B15" s="7" t="s">
        <v>18</v>
      </c>
      <c r="C15" s="7" t="s">
        <v>21</v>
      </c>
      <c r="D15" s="7" t="s">
        <v>22</v>
      </c>
      <c r="E15" s="8" t="n">
        <v>131000</v>
      </c>
      <c r="F15" s="7" t="s">
        <v>60</v>
      </c>
      <c r="G15" s="0" t="str">
        <f aca="false">IF(B15="","",IFERROR(VLOOKUP(B15,Справочники!$A$4:$C$18,2,FALSE()),"нет в справочнике"))</f>
        <v>Доход</v>
      </c>
      <c r="H15" s="13" t="n">
        <f aca="false">IF(A15="","",DATE(YEAR(A15),MONTH(A15),1))</f>
        <v>45658</v>
      </c>
    </row>
    <row r="16" customFormat="false" ht="15" hidden="false" customHeight="false" outlineLevel="0" collapsed="false">
      <c r="A16" s="12" t="n">
        <v>45670</v>
      </c>
      <c r="B16" s="7" t="s">
        <v>28</v>
      </c>
      <c r="C16" s="7" t="s">
        <v>21</v>
      </c>
      <c r="D16" s="7" t="s">
        <v>22</v>
      </c>
      <c r="E16" s="8" t="n">
        <v>10600</v>
      </c>
      <c r="F16" s="7" t="s">
        <v>61</v>
      </c>
      <c r="G16" s="0" t="str">
        <f aca="false">IF(B16="","",IFERROR(VLOOKUP(B16,Справочники!$A$4:$C$18,2,FALSE()),"нет в справочнике"))</f>
        <v>Доход</v>
      </c>
      <c r="H16" s="13" t="n">
        <f aca="false">IF(A16="","",DATE(YEAR(A16),MONTH(A16),1))</f>
        <v>45658</v>
      </c>
    </row>
    <row r="17" customFormat="false" ht="15" hidden="false" customHeight="false" outlineLevel="0" collapsed="false">
      <c r="A17" s="12" t="n">
        <v>45671</v>
      </c>
      <c r="B17" s="7" t="s">
        <v>26</v>
      </c>
      <c r="C17" s="7" t="s">
        <v>26</v>
      </c>
      <c r="D17" s="7" t="s">
        <v>27</v>
      </c>
      <c r="E17" s="8" t="n">
        <v>8000</v>
      </c>
      <c r="F17" s="7" t="s">
        <v>49</v>
      </c>
      <c r="G17" s="0" t="str">
        <f aca="false">IF(B17="","",IFERROR(VLOOKUP(B17,Справочники!$A$4:$C$18,2,FALSE()),"нет в справочнике"))</f>
        <v>Доход</v>
      </c>
      <c r="H17" s="13" t="n">
        <f aca="false">IF(A17="","",DATE(YEAR(A17),MONTH(A17),1))</f>
        <v>45658</v>
      </c>
    </row>
    <row r="18" customFormat="false" ht="15" hidden="false" customHeight="false" outlineLevel="0" collapsed="false">
      <c r="A18" s="12" t="n">
        <v>45671</v>
      </c>
      <c r="B18" s="7" t="s">
        <v>26</v>
      </c>
      <c r="C18" s="7" t="s">
        <v>26</v>
      </c>
      <c r="D18" s="7" t="s">
        <v>25</v>
      </c>
      <c r="E18" s="8" t="n">
        <v>8300</v>
      </c>
      <c r="F18" s="7" t="s">
        <v>49</v>
      </c>
      <c r="G18" s="0" t="str">
        <f aca="false">IF(B18="","",IFERROR(VLOOKUP(B18,Справочники!$A$4:$C$18,2,FALSE()),"нет в справочнике"))</f>
        <v>Доход</v>
      </c>
      <c r="H18" s="13" t="n">
        <f aca="false">IF(A18="","",DATE(YEAR(A18),MONTH(A18),1))</f>
        <v>45658</v>
      </c>
    </row>
    <row r="19" customFormat="false" ht="15" hidden="false" customHeight="false" outlineLevel="0" collapsed="false">
      <c r="A19" s="12" t="n">
        <v>45671</v>
      </c>
      <c r="B19" s="7" t="s">
        <v>28</v>
      </c>
      <c r="C19" s="7" t="s">
        <v>24</v>
      </c>
      <c r="D19" s="7" t="s">
        <v>22</v>
      </c>
      <c r="E19" s="8" t="n">
        <v>9800</v>
      </c>
      <c r="F19" s="7" t="s">
        <v>61</v>
      </c>
      <c r="G19" s="0" t="str">
        <f aca="false">IF(B19="","",IFERROR(VLOOKUP(B19,Справочники!$A$4:$C$18,2,FALSE()),"нет в справочнике"))</f>
        <v>Доход</v>
      </c>
      <c r="H19" s="13" t="n">
        <f aca="false">IF(A19="","",DATE(YEAR(A19),MONTH(A19),1))</f>
        <v>45658</v>
      </c>
    </row>
    <row r="20" customFormat="false" ht="15" hidden="false" customHeight="false" outlineLevel="0" collapsed="false">
      <c r="A20" s="12" t="n">
        <v>45672</v>
      </c>
      <c r="B20" s="7" t="s">
        <v>18</v>
      </c>
      <c r="C20" s="7" t="s">
        <v>21</v>
      </c>
      <c r="D20" s="7" t="s">
        <v>22</v>
      </c>
      <c r="E20" s="8" t="n">
        <v>156400</v>
      </c>
      <c r="F20" s="7" t="s">
        <v>62</v>
      </c>
      <c r="G20" s="0" t="str">
        <f aca="false">IF(B20="","",IFERROR(VLOOKUP(B20,Справочники!$A$4:$C$18,2,FALSE()),"нет в справочнике"))</f>
        <v>Доход</v>
      </c>
      <c r="H20" s="13" t="n">
        <f aca="false">IF(A20="","",DATE(YEAR(A20),MONTH(A20),1))</f>
        <v>45658</v>
      </c>
    </row>
    <row r="21" customFormat="false" ht="15" hidden="false" customHeight="false" outlineLevel="0" collapsed="false">
      <c r="A21" s="12" t="n">
        <v>45672</v>
      </c>
      <c r="B21" s="7" t="s">
        <v>38</v>
      </c>
      <c r="C21" s="7" t="s">
        <v>29</v>
      </c>
      <c r="D21" s="7" t="s">
        <v>22</v>
      </c>
      <c r="E21" s="8" t="n">
        <v>18900</v>
      </c>
      <c r="F21" s="7" t="s">
        <v>63</v>
      </c>
      <c r="G21" s="0" t="str">
        <f aca="false">IF(B21="","",IFERROR(VLOOKUP(B21,Справочники!$A$4:$C$18,2,FALSE()),"нет в справочнике"))</f>
        <v>Расход</v>
      </c>
      <c r="H21" s="13" t="n">
        <f aca="false">IF(A21="","",DATE(YEAR(A21),MONTH(A21),1))</f>
        <v>45658</v>
      </c>
    </row>
    <row r="22" customFormat="false" ht="15" hidden="false" customHeight="false" outlineLevel="0" collapsed="false">
      <c r="A22" s="12" t="n">
        <v>45673</v>
      </c>
      <c r="B22" s="7" t="s">
        <v>18</v>
      </c>
      <c r="C22" s="7" t="s">
        <v>21</v>
      </c>
      <c r="D22" s="7" t="s">
        <v>22</v>
      </c>
      <c r="E22" s="8" t="n">
        <v>186900</v>
      </c>
      <c r="F22" s="7" t="s">
        <v>64</v>
      </c>
      <c r="G22" s="0" t="str">
        <f aca="false">IF(B22="","",IFERROR(VLOOKUP(B22,Справочники!$A$4:$C$18,2,FALSE()),"нет в справочнике"))</f>
        <v>Доход</v>
      </c>
      <c r="H22" s="13" t="n">
        <f aca="false">IF(A22="","",DATE(YEAR(A22),MONTH(A22),1))</f>
        <v>45658</v>
      </c>
    </row>
    <row r="23" customFormat="false" ht="15" hidden="false" customHeight="false" outlineLevel="0" collapsed="false">
      <c r="A23" s="12" t="n">
        <v>45674</v>
      </c>
      <c r="B23" s="7" t="s">
        <v>18</v>
      </c>
      <c r="C23" s="7" t="s">
        <v>21</v>
      </c>
      <c r="D23" s="7" t="s">
        <v>22</v>
      </c>
      <c r="E23" s="8" t="n">
        <v>124000</v>
      </c>
      <c r="F23" s="7" t="s">
        <v>65</v>
      </c>
      <c r="G23" s="0" t="str">
        <f aca="false">IF(B23="","",IFERROR(VLOOKUP(B23,Справочники!$A$4:$C$18,2,FALSE()),"нет в справочнике"))</f>
        <v>Доход</v>
      </c>
      <c r="H23" s="13" t="n">
        <f aca="false">IF(A23="","",DATE(YEAR(A23),MONTH(A23),1))</f>
        <v>45658</v>
      </c>
    </row>
    <row r="24" customFormat="false" ht="15" hidden="false" customHeight="false" outlineLevel="0" collapsed="false">
      <c r="A24" s="12" t="n">
        <v>45674</v>
      </c>
      <c r="B24" s="7" t="s">
        <v>28</v>
      </c>
      <c r="C24" s="7" t="s">
        <v>21</v>
      </c>
      <c r="D24" s="7" t="s">
        <v>22</v>
      </c>
      <c r="E24" s="8" t="n">
        <v>11400</v>
      </c>
      <c r="F24" s="7" t="s">
        <v>61</v>
      </c>
      <c r="G24" s="0" t="str">
        <f aca="false">IF(B24="","",IFERROR(VLOOKUP(B24,Справочники!$A$4:$C$18,2,FALSE()),"нет в справочнике"))</f>
        <v>Доход</v>
      </c>
      <c r="H24" s="13" t="n">
        <f aca="false">IF(A24="","",DATE(YEAR(A24),MONTH(A24),1))</f>
        <v>45658</v>
      </c>
    </row>
    <row r="25" customFormat="false" ht="15" hidden="false" customHeight="false" outlineLevel="0" collapsed="false">
      <c r="A25" s="12" t="n">
        <v>45674</v>
      </c>
      <c r="B25" s="7" t="s">
        <v>33</v>
      </c>
      <c r="C25" s="7" t="s">
        <v>21</v>
      </c>
      <c r="D25" s="7" t="s">
        <v>22</v>
      </c>
      <c r="E25" s="8" t="n">
        <v>29500</v>
      </c>
      <c r="F25" s="7" t="s">
        <v>59</v>
      </c>
      <c r="G25" s="0" t="str">
        <f aca="false">IF(B25="","",IFERROR(VLOOKUP(B25,Справочники!$A$4:$C$18,2,FALSE()),"нет в справочнике"))</f>
        <v>Расход</v>
      </c>
      <c r="H25" s="13" t="n">
        <f aca="false">IF(A25="","",DATE(YEAR(A25),MONTH(A25),1))</f>
        <v>45658</v>
      </c>
    </row>
    <row r="26" customFormat="false" ht="15" hidden="false" customHeight="false" outlineLevel="0" collapsed="false">
      <c r="A26" s="12" t="n">
        <v>45675</v>
      </c>
      <c r="B26" s="7" t="s">
        <v>40</v>
      </c>
      <c r="C26" s="7" t="s">
        <v>29</v>
      </c>
      <c r="D26" s="7" t="s">
        <v>27</v>
      </c>
      <c r="E26" s="8" t="n">
        <v>13500</v>
      </c>
      <c r="F26" s="7" t="s">
        <v>66</v>
      </c>
      <c r="G26" s="0" t="str">
        <f aca="false">IF(B26="","",IFERROR(VLOOKUP(B26,Справочники!$A$4:$C$18,2,FALSE()),"нет в справочнике"))</f>
        <v>Расход</v>
      </c>
      <c r="H26" s="13" t="n">
        <f aca="false">IF(A26="","",DATE(YEAR(A26),MONTH(A26),1))</f>
        <v>45658</v>
      </c>
    </row>
    <row r="27" customFormat="false" ht="15" hidden="false" customHeight="false" outlineLevel="0" collapsed="false">
      <c r="A27" s="12" t="n">
        <v>45677</v>
      </c>
      <c r="B27" s="7" t="s">
        <v>28</v>
      </c>
      <c r="C27" s="7" t="s">
        <v>21</v>
      </c>
      <c r="D27" s="7" t="s">
        <v>22</v>
      </c>
      <c r="E27" s="8" t="n">
        <v>8900</v>
      </c>
      <c r="F27" s="7" t="s">
        <v>61</v>
      </c>
      <c r="G27" s="0" t="str">
        <f aca="false">IF(B27="","",IFERROR(VLOOKUP(B27,Справочники!$A$4:$C$18,2,FALSE()),"нет в справочнике"))</f>
        <v>Доход</v>
      </c>
      <c r="H27" s="13" t="n">
        <f aca="false">IF(A27="","",DATE(YEAR(A27),MONTH(A27),1))</f>
        <v>45658</v>
      </c>
    </row>
    <row r="28" customFormat="false" ht="15" hidden="false" customHeight="false" outlineLevel="0" collapsed="false">
      <c r="A28" s="12" t="n">
        <v>45677</v>
      </c>
      <c r="B28" s="7" t="s">
        <v>41</v>
      </c>
      <c r="C28" s="7" t="s">
        <v>29</v>
      </c>
      <c r="D28" s="7" t="s">
        <v>22</v>
      </c>
      <c r="E28" s="8" t="n">
        <v>12500</v>
      </c>
      <c r="F28" s="7" t="s">
        <v>67</v>
      </c>
      <c r="G28" s="0" t="str">
        <f aca="false">IF(B28="","",IFERROR(VLOOKUP(B28,Справочники!$A$4:$C$18,2,FALSE()),"нет в справочнике"))</f>
        <v>Расход</v>
      </c>
      <c r="H28" s="13" t="n">
        <f aca="false">IF(A28="","",DATE(YEAR(A28),MONTH(A28),1))</f>
        <v>45658</v>
      </c>
    </row>
    <row r="29" customFormat="false" ht="15" hidden="false" customHeight="false" outlineLevel="0" collapsed="false">
      <c r="A29" s="12" t="n">
        <v>45681</v>
      </c>
      <c r="B29" s="7" t="s">
        <v>31</v>
      </c>
      <c r="C29" s="7" t="s">
        <v>21</v>
      </c>
      <c r="D29" s="7" t="s">
        <v>22</v>
      </c>
      <c r="E29" s="8" t="n">
        <v>78000</v>
      </c>
      <c r="F29" s="7" t="s">
        <v>56</v>
      </c>
      <c r="G29" s="0" t="str">
        <f aca="false">IF(B29="","",IFERROR(VLOOKUP(B29,Справочники!$A$4:$C$18,2,FALSE()),"нет в справочнике"))</f>
        <v>Расход</v>
      </c>
      <c r="H29" s="13" t="n">
        <f aca="false">IF(A29="","",DATE(YEAR(A29),MONTH(A29),1))</f>
        <v>45658</v>
      </c>
    </row>
    <row r="30" customFormat="false" ht="15" hidden="false" customHeight="false" outlineLevel="0" collapsed="false">
      <c r="A30" s="12" t="n">
        <v>45683</v>
      </c>
      <c r="B30" s="7" t="s">
        <v>31</v>
      </c>
      <c r="C30" s="7" t="s">
        <v>24</v>
      </c>
      <c r="D30" s="7" t="s">
        <v>22</v>
      </c>
      <c r="E30" s="8" t="n">
        <v>82300</v>
      </c>
      <c r="F30" s="7" t="s">
        <v>56</v>
      </c>
      <c r="G30" s="0" t="str">
        <f aca="false">IF(B30="","",IFERROR(VLOOKUP(B30,Справочники!$A$4:$C$18,2,FALSE()),"нет в справочнике"))</f>
        <v>Расход</v>
      </c>
      <c r="H30" s="13" t="n">
        <f aca="false">IF(A30="","",DATE(YEAR(A30),MONTH(A30),1))</f>
        <v>45658</v>
      </c>
    </row>
    <row r="31" customFormat="false" ht="15" hidden="false" customHeight="false" outlineLevel="0" collapsed="false">
      <c r="A31" s="12" t="n">
        <v>45685</v>
      </c>
      <c r="B31" s="7" t="s">
        <v>33</v>
      </c>
      <c r="C31" s="7" t="s">
        <v>21</v>
      </c>
      <c r="D31" s="7" t="s">
        <v>22</v>
      </c>
      <c r="E31" s="8" t="n">
        <v>30700</v>
      </c>
      <c r="F31" s="7" t="s">
        <v>59</v>
      </c>
      <c r="G31" s="0" t="str">
        <f aca="false">IF(B31="","",IFERROR(VLOOKUP(B31,Справочники!$A$4:$C$18,2,FALSE()),"нет в справочнике"))</f>
        <v>Расход</v>
      </c>
      <c r="H31" s="13" t="n">
        <f aca="false">IF(A31="","",DATE(YEAR(A31),MONTH(A31),1))</f>
        <v>45658</v>
      </c>
    </row>
    <row r="32" customFormat="false" ht="15" hidden="false" customHeight="false" outlineLevel="0" collapsed="false">
      <c r="A32" s="12" t="n">
        <v>45685</v>
      </c>
      <c r="B32" s="7" t="s">
        <v>34</v>
      </c>
      <c r="C32" s="7" t="s">
        <v>21</v>
      </c>
      <c r="D32" s="7" t="s">
        <v>22</v>
      </c>
      <c r="E32" s="8" t="n">
        <v>126100</v>
      </c>
      <c r="F32" s="7" t="s">
        <v>68</v>
      </c>
      <c r="G32" s="0" t="str">
        <f aca="false">IF(B32="","",IFERROR(VLOOKUP(B32,Справочники!$A$4:$C$18,2,FALSE()),"нет в справочнике"))</f>
        <v>Расход</v>
      </c>
      <c r="H32" s="13" t="n">
        <f aca="false">IF(A32="","",DATE(YEAR(A32),MONTH(A32),1))</f>
        <v>45658</v>
      </c>
    </row>
    <row r="33" customFormat="false" ht="15" hidden="false" customHeight="false" outlineLevel="0" collapsed="false">
      <c r="A33" s="12" t="n">
        <v>45686</v>
      </c>
      <c r="B33" s="7" t="s">
        <v>23</v>
      </c>
      <c r="C33" s="7" t="s">
        <v>24</v>
      </c>
      <c r="D33" s="7" t="s">
        <v>22</v>
      </c>
      <c r="E33" s="8" t="n">
        <v>52500</v>
      </c>
      <c r="F33" s="7" t="s">
        <v>69</v>
      </c>
      <c r="G33" s="0" t="str">
        <f aca="false">IF(B33="","",IFERROR(VLOOKUP(B33,Справочники!$A$4:$C$18,2,FALSE()),"нет в справочнике"))</f>
        <v>Доход</v>
      </c>
      <c r="H33" s="13" t="n">
        <f aca="false">IF(A33="","",DATE(YEAR(A33),MONTH(A33),1))</f>
        <v>45658</v>
      </c>
    </row>
    <row r="34" customFormat="false" ht="15" hidden="false" customHeight="false" outlineLevel="0" collapsed="false">
      <c r="A34" s="12" t="n">
        <v>45686</v>
      </c>
      <c r="B34" s="7" t="s">
        <v>28</v>
      </c>
      <c r="C34" s="7" t="s">
        <v>21</v>
      </c>
      <c r="D34" s="7" t="s">
        <v>22</v>
      </c>
      <c r="E34" s="8" t="n">
        <v>15600</v>
      </c>
      <c r="F34" s="7" t="s">
        <v>61</v>
      </c>
      <c r="G34" s="0" t="str">
        <f aca="false">IF(B34="","",IFERROR(VLOOKUP(B34,Справочники!$A$4:$C$18,2,FALSE()),"нет в справочнике"))</f>
        <v>Доход</v>
      </c>
      <c r="H34" s="13" t="n">
        <f aca="false">IF(A34="","",DATE(YEAR(A34),MONTH(A34),1))</f>
        <v>45658</v>
      </c>
    </row>
    <row r="35" customFormat="false" ht="15" hidden="false" customHeight="false" outlineLevel="0" collapsed="false">
      <c r="A35" s="12" t="n">
        <v>45689</v>
      </c>
      <c r="B35" s="7" t="s">
        <v>23</v>
      </c>
      <c r="C35" s="7" t="s">
        <v>24</v>
      </c>
      <c r="D35" s="7" t="s">
        <v>22</v>
      </c>
      <c r="E35" s="8" t="n">
        <v>63500</v>
      </c>
      <c r="F35" s="7" t="s">
        <v>70</v>
      </c>
      <c r="G35" s="0" t="str">
        <f aca="false">IF(B35="","",IFERROR(VLOOKUP(B35,Справочники!$A$4:$C$18,2,FALSE()),"нет в справочнике"))</f>
        <v>Доход</v>
      </c>
      <c r="H35" s="13" t="n">
        <f aca="false">IF(A35="","",DATE(YEAR(A35),MONTH(A35),1))</f>
        <v>45689</v>
      </c>
    </row>
    <row r="36" customFormat="false" ht="15" hidden="false" customHeight="false" outlineLevel="0" collapsed="false">
      <c r="A36" s="12" t="n">
        <v>45689</v>
      </c>
      <c r="B36" s="7" t="s">
        <v>28</v>
      </c>
      <c r="C36" s="7" t="s">
        <v>21</v>
      </c>
      <c r="D36" s="7" t="s">
        <v>22</v>
      </c>
      <c r="E36" s="8" t="n">
        <v>12200</v>
      </c>
      <c r="F36" s="7" t="s">
        <v>61</v>
      </c>
      <c r="G36" s="0" t="str">
        <f aca="false">IF(B36="","",IFERROR(VLOOKUP(B36,Справочники!$A$4:$C$18,2,FALSE()),"нет в справочнике"))</f>
        <v>Доход</v>
      </c>
      <c r="H36" s="13" t="n">
        <f aca="false">IF(A36="","",DATE(YEAR(A36),MONTH(A36),1))</f>
        <v>45689</v>
      </c>
    </row>
    <row r="37" customFormat="false" ht="15" hidden="false" customHeight="false" outlineLevel="0" collapsed="false">
      <c r="A37" s="12" t="n">
        <v>45689</v>
      </c>
      <c r="B37" s="7" t="s">
        <v>33</v>
      </c>
      <c r="C37" s="7" t="s">
        <v>24</v>
      </c>
      <c r="D37" s="7" t="s">
        <v>22</v>
      </c>
      <c r="E37" s="8" t="n">
        <v>22400</v>
      </c>
      <c r="F37" s="7" t="s">
        <v>59</v>
      </c>
      <c r="G37" s="0" t="str">
        <f aca="false">IF(B37="","",IFERROR(VLOOKUP(B37,Справочники!$A$4:$C$18,2,FALSE()),"нет в справочнике"))</f>
        <v>Расход</v>
      </c>
      <c r="H37" s="13" t="n">
        <f aca="false">IF(A37="","",DATE(YEAR(A37),MONTH(A37),1))</f>
        <v>45689</v>
      </c>
    </row>
    <row r="38" customFormat="false" ht="15" hidden="false" customHeight="false" outlineLevel="0" collapsed="false">
      <c r="A38" s="12" t="n">
        <v>45689</v>
      </c>
      <c r="B38" s="7" t="s">
        <v>35</v>
      </c>
      <c r="C38" s="7" t="s">
        <v>24</v>
      </c>
      <c r="D38" s="7" t="s">
        <v>27</v>
      </c>
      <c r="E38" s="8" t="n">
        <v>34900</v>
      </c>
      <c r="F38" s="7" t="s">
        <v>55</v>
      </c>
      <c r="G38" s="0" t="str">
        <f aca="false">IF(B38="","",IFERROR(VLOOKUP(B38,Справочники!$A$4:$C$18,2,FALSE()),"нет в справочнике"))</f>
        <v>Расход</v>
      </c>
      <c r="H38" s="13" t="n">
        <f aca="false">IF(A38="","",DATE(YEAR(A38),MONTH(A38),1))</f>
        <v>45689</v>
      </c>
    </row>
    <row r="39" customFormat="false" ht="15" hidden="false" customHeight="false" outlineLevel="0" collapsed="false">
      <c r="A39" s="12" t="n">
        <v>45690</v>
      </c>
      <c r="B39" s="7" t="s">
        <v>18</v>
      </c>
      <c r="C39" s="7" t="s">
        <v>21</v>
      </c>
      <c r="D39" s="7" t="s">
        <v>22</v>
      </c>
      <c r="E39" s="8" t="n">
        <v>178800</v>
      </c>
      <c r="F39" s="7" t="s">
        <v>71</v>
      </c>
      <c r="G39" s="0" t="str">
        <f aca="false">IF(B39="","",IFERROR(VLOOKUP(B39,Справочники!$A$4:$C$18,2,FALSE()),"нет в справочнике"))</f>
        <v>Доход</v>
      </c>
      <c r="H39" s="13" t="n">
        <f aca="false">IF(A39="","",DATE(YEAR(A39),MONTH(A39),1))</f>
        <v>45689</v>
      </c>
    </row>
    <row r="40" customFormat="false" ht="15" hidden="false" customHeight="false" outlineLevel="0" collapsed="false">
      <c r="A40" s="12" t="n">
        <v>45690</v>
      </c>
      <c r="B40" s="7" t="s">
        <v>18</v>
      </c>
      <c r="C40" s="7" t="s">
        <v>21</v>
      </c>
      <c r="D40" s="7" t="s">
        <v>22</v>
      </c>
      <c r="E40" s="8" t="n">
        <v>173100</v>
      </c>
      <c r="F40" s="7" t="s">
        <v>72</v>
      </c>
      <c r="G40" s="0" t="str">
        <f aca="false">IF(B40="","",IFERROR(VLOOKUP(B40,Справочники!$A$4:$C$18,2,FALSE()),"нет в справочнике"))</f>
        <v>Доход</v>
      </c>
      <c r="H40" s="13" t="n">
        <f aca="false">IF(A40="","",DATE(YEAR(A40),MONTH(A40),1))</f>
        <v>45689</v>
      </c>
    </row>
    <row r="41" customFormat="false" ht="15" hidden="false" customHeight="false" outlineLevel="0" collapsed="false">
      <c r="A41" s="12" t="n">
        <v>45690</v>
      </c>
      <c r="B41" s="7" t="s">
        <v>31</v>
      </c>
      <c r="C41" s="7" t="s">
        <v>24</v>
      </c>
      <c r="D41" s="7" t="s">
        <v>22</v>
      </c>
      <c r="E41" s="8" t="n">
        <v>129500</v>
      </c>
      <c r="F41" s="7" t="s">
        <v>56</v>
      </c>
      <c r="G41" s="0" t="str">
        <f aca="false">IF(B41="","",IFERROR(VLOOKUP(B41,Справочники!$A$4:$C$18,2,FALSE()),"нет в справочнике"))</f>
        <v>Расход</v>
      </c>
      <c r="H41" s="13" t="n">
        <f aca="false">IF(A41="","",DATE(YEAR(A41),MONTH(A41),1))</f>
        <v>45689</v>
      </c>
    </row>
    <row r="42" customFormat="false" ht="15" hidden="false" customHeight="false" outlineLevel="0" collapsed="false">
      <c r="A42" s="12" t="n">
        <v>45691</v>
      </c>
      <c r="B42" s="7" t="s">
        <v>33</v>
      </c>
      <c r="C42" s="7" t="s">
        <v>26</v>
      </c>
      <c r="D42" s="7" t="s">
        <v>22</v>
      </c>
      <c r="E42" s="8" t="n">
        <v>27100</v>
      </c>
      <c r="F42" s="7" t="s">
        <v>59</v>
      </c>
      <c r="G42" s="0" t="str">
        <f aca="false">IF(B42="","",IFERROR(VLOOKUP(B42,Справочники!$A$4:$C$18,2,FALSE()),"нет в справочнике"))</f>
        <v>Расход</v>
      </c>
      <c r="H42" s="13" t="n">
        <f aca="false">IF(A42="","",DATE(YEAR(A42),MONTH(A42),1))</f>
        <v>45689</v>
      </c>
    </row>
    <row r="43" customFormat="false" ht="15" hidden="false" customHeight="false" outlineLevel="0" collapsed="false">
      <c r="A43" s="12" t="n">
        <v>45693</v>
      </c>
      <c r="B43" s="7" t="s">
        <v>28</v>
      </c>
      <c r="C43" s="7" t="s">
        <v>24</v>
      </c>
      <c r="D43" s="7" t="s">
        <v>22</v>
      </c>
      <c r="E43" s="8" t="n">
        <v>14200</v>
      </c>
      <c r="F43" s="7" t="s">
        <v>61</v>
      </c>
      <c r="G43" s="0" t="str">
        <f aca="false">IF(B43="","",IFERROR(VLOOKUP(B43,Справочники!$A$4:$C$18,2,FALSE()),"нет в справочнике"))</f>
        <v>Доход</v>
      </c>
      <c r="H43" s="13" t="n">
        <f aca="false">IF(A43="","",DATE(YEAR(A43),MONTH(A43),1))</f>
        <v>45689</v>
      </c>
    </row>
    <row r="44" customFormat="false" ht="15" hidden="false" customHeight="false" outlineLevel="0" collapsed="false">
      <c r="A44" s="12" t="n">
        <v>45693</v>
      </c>
      <c r="B44" s="7" t="s">
        <v>31</v>
      </c>
      <c r="C44" s="7" t="s">
        <v>21</v>
      </c>
      <c r="D44" s="7" t="s">
        <v>22</v>
      </c>
      <c r="E44" s="8" t="n">
        <v>122400</v>
      </c>
      <c r="F44" s="7" t="s">
        <v>56</v>
      </c>
      <c r="G44" s="0" t="str">
        <f aca="false">IF(B44="","",IFERROR(VLOOKUP(B44,Справочники!$A$4:$C$18,2,FALSE()),"нет в справочнике"))</f>
        <v>Расход</v>
      </c>
      <c r="H44" s="13" t="n">
        <f aca="false">IF(A44="","",DATE(YEAR(A44),MONTH(A44),1))</f>
        <v>45689</v>
      </c>
    </row>
    <row r="45" customFormat="false" ht="15" hidden="false" customHeight="false" outlineLevel="0" collapsed="false">
      <c r="A45" s="12" t="n">
        <v>45693</v>
      </c>
      <c r="B45" s="7" t="s">
        <v>37</v>
      </c>
      <c r="C45" s="7" t="s">
        <v>29</v>
      </c>
      <c r="D45" s="7" t="s">
        <v>22</v>
      </c>
      <c r="E45" s="8" t="n">
        <v>85000</v>
      </c>
      <c r="F45" s="7" t="s">
        <v>51</v>
      </c>
      <c r="G45" s="0" t="str">
        <f aca="false">IF(B45="","",IFERROR(VLOOKUP(B45,Справочники!$A$4:$C$18,2,FALSE()),"нет в справочнике"))</f>
        <v>Расход</v>
      </c>
      <c r="H45" s="13" t="n">
        <f aca="false">IF(A45="","",DATE(YEAR(A45),MONTH(A45),1))</f>
        <v>45689</v>
      </c>
    </row>
    <row r="46" customFormat="false" ht="15" hidden="false" customHeight="false" outlineLevel="0" collapsed="false">
      <c r="A46" s="12" t="n">
        <v>45694</v>
      </c>
      <c r="B46" s="7" t="s">
        <v>23</v>
      </c>
      <c r="C46" s="7" t="s">
        <v>24</v>
      </c>
      <c r="D46" s="7" t="s">
        <v>27</v>
      </c>
      <c r="E46" s="8" t="n">
        <v>109200</v>
      </c>
      <c r="F46" s="7" t="s">
        <v>73</v>
      </c>
      <c r="G46" s="0" t="str">
        <f aca="false">IF(B46="","",IFERROR(VLOOKUP(B46,Справочники!$A$4:$C$18,2,FALSE()),"нет в справочнике"))</f>
        <v>Доход</v>
      </c>
      <c r="H46" s="13" t="n">
        <f aca="false">IF(A46="","",DATE(YEAR(A46),MONTH(A46),1))</f>
        <v>45689</v>
      </c>
    </row>
    <row r="47" customFormat="false" ht="15" hidden="false" customHeight="false" outlineLevel="0" collapsed="false">
      <c r="A47" s="12" t="n">
        <v>45695</v>
      </c>
      <c r="B47" s="7" t="s">
        <v>18</v>
      </c>
      <c r="C47" s="7" t="s">
        <v>21</v>
      </c>
      <c r="D47" s="7" t="s">
        <v>22</v>
      </c>
      <c r="E47" s="8" t="n">
        <v>156100</v>
      </c>
      <c r="F47" s="7" t="s">
        <v>74</v>
      </c>
      <c r="G47" s="0" t="str">
        <f aca="false">IF(B47="","",IFERROR(VLOOKUP(B47,Справочники!$A$4:$C$18,2,FALSE()),"нет в справочнике"))</f>
        <v>Доход</v>
      </c>
      <c r="H47" s="13" t="n">
        <f aca="false">IF(A47="","",DATE(YEAR(A47),MONTH(A47),1))</f>
        <v>45689</v>
      </c>
    </row>
    <row r="48" customFormat="false" ht="15" hidden="false" customHeight="false" outlineLevel="0" collapsed="false">
      <c r="A48" s="12" t="n">
        <v>45695</v>
      </c>
      <c r="B48" s="7" t="s">
        <v>23</v>
      </c>
      <c r="C48" s="7" t="s">
        <v>24</v>
      </c>
      <c r="D48" s="7" t="s">
        <v>22</v>
      </c>
      <c r="E48" s="8" t="n">
        <v>71300</v>
      </c>
      <c r="F48" s="7" t="s">
        <v>75</v>
      </c>
      <c r="G48" s="0" t="str">
        <f aca="false">IF(B48="","",IFERROR(VLOOKUP(B48,Справочники!$A$4:$C$18,2,FALSE()),"нет в справочнике"))</f>
        <v>Доход</v>
      </c>
      <c r="H48" s="13" t="n">
        <f aca="false">IF(A48="","",DATE(YEAR(A48),MONTH(A48),1))</f>
        <v>45689</v>
      </c>
    </row>
    <row r="49" customFormat="false" ht="15" hidden="false" customHeight="false" outlineLevel="0" collapsed="false">
      <c r="A49" s="12" t="n">
        <v>45695</v>
      </c>
      <c r="B49" s="7" t="s">
        <v>28</v>
      </c>
      <c r="C49" s="7" t="s">
        <v>24</v>
      </c>
      <c r="D49" s="7" t="s">
        <v>22</v>
      </c>
      <c r="E49" s="8" t="n">
        <v>14300</v>
      </c>
      <c r="F49" s="7" t="s">
        <v>61</v>
      </c>
      <c r="G49" s="0" t="str">
        <f aca="false">IF(B49="","",IFERROR(VLOOKUP(B49,Справочники!$A$4:$C$18,2,FALSE()),"нет в справочнике"))</f>
        <v>Доход</v>
      </c>
      <c r="H49" s="13" t="n">
        <f aca="false">IF(A49="","",DATE(YEAR(A49),MONTH(A49),1))</f>
        <v>45689</v>
      </c>
    </row>
    <row r="50" customFormat="false" ht="15" hidden="false" customHeight="false" outlineLevel="0" collapsed="false">
      <c r="A50" s="12" t="n">
        <v>45696</v>
      </c>
      <c r="B50" s="7" t="s">
        <v>26</v>
      </c>
      <c r="C50" s="7" t="s">
        <v>26</v>
      </c>
      <c r="D50" s="7" t="s">
        <v>27</v>
      </c>
      <c r="E50" s="8" t="n">
        <v>19000</v>
      </c>
      <c r="F50" s="7" t="s">
        <v>49</v>
      </c>
      <c r="G50" s="0" t="str">
        <f aca="false">IF(B50="","",IFERROR(VLOOKUP(B50,Справочники!$A$4:$C$18,2,FALSE()),"нет в справочнике"))</f>
        <v>Доход</v>
      </c>
      <c r="H50" s="13" t="n">
        <f aca="false">IF(A50="","",DATE(YEAR(A50),MONTH(A50),1))</f>
        <v>45689</v>
      </c>
    </row>
    <row r="51" customFormat="false" ht="15" hidden="false" customHeight="false" outlineLevel="0" collapsed="false">
      <c r="A51" s="12" t="n">
        <v>45697</v>
      </c>
      <c r="B51" s="7" t="s">
        <v>23</v>
      </c>
      <c r="C51" s="7" t="s">
        <v>24</v>
      </c>
      <c r="D51" s="7" t="s">
        <v>27</v>
      </c>
      <c r="E51" s="8" t="n">
        <v>48400</v>
      </c>
      <c r="F51" s="7" t="s">
        <v>76</v>
      </c>
      <c r="G51" s="0" t="str">
        <f aca="false">IF(B51="","",IFERROR(VLOOKUP(B51,Справочники!$A$4:$C$18,2,FALSE()),"нет в справочнике"))</f>
        <v>Доход</v>
      </c>
      <c r="H51" s="13" t="n">
        <f aca="false">IF(A51="","",DATE(YEAR(A51),MONTH(A51),1))</f>
        <v>45689</v>
      </c>
    </row>
    <row r="52" customFormat="false" ht="15" hidden="false" customHeight="false" outlineLevel="0" collapsed="false">
      <c r="A52" s="12" t="n">
        <v>45697</v>
      </c>
      <c r="B52" s="7" t="s">
        <v>31</v>
      </c>
      <c r="C52" s="7" t="s">
        <v>24</v>
      </c>
      <c r="D52" s="7" t="s">
        <v>22</v>
      </c>
      <c r="E52" s="8" t="n">
        <v>121800</v>
      </c>
      <c r="F52" s="7" t="s">
        <v>56</v>
      </c>
      <c r="G52" s="0" t="str">
        <f aca="false">IF(B52="","",IFERROR(VLOOKUP(B52,Справочники!$A$4:$C$18,2,FALSE()),"нет в справочнике"))</f>
        <v>Расход</v>
      </c>
      <c r="H52" s="13" t="n">
        <f aca="false">IF(A52="","",DATE(YEAR(A52),MONTH(A52),1))</f>
        <v>45689</v>
      </c>
    </row>
    <row r="53" customFormat="false" ht="15" hidden="false" customHeight="false" outlineLevel="0" collapsed="false">
      <c r="A53" s="12" t="n">
        <v>45698</v>
      </c>
      <c r="B53" s="7" t="s">
        <v>36</v>
      </c>
      <c r="C53" s="7" t="s">
        <v>29</v>
      </c>
      <c r="D53" s="7" t="s">
        <v>22</v>
      </c>
      <c r="E53" s="8" t="n">
        <v>210000</v>
      </c>
      <c r="F53" s="7" t="s">
        <v>57</v>
      </c>
      <c r="G53" s="0" t="str">
        <f aca="false">IF(B53="","",IFERROR(VLOOKUP(B53,Справочники!$A$4:$C$18,2,FALSE()),"нет в справочнике"))</f>
        <v>Расход</v>
      </c>
      <c r="H53" s="13" t="n">
        <f aca="false">IF(A53="","",DATE(YEAR(A53),MONTH(A53),1))</f>
        <v>45689</v>
      </c>
    </row>
    <row r="54" customFormat="false" ht="15" hidden="false" customHeight="false" outlineLevel="0" collapsed="false">
      <c r="A54" s="12" t="n">
        <v>45700</v>
      </c>
      <c r="B54" s="7" t="s">
        <v>18</v>
      </c>
      <c r="C54" s="7" t="s">
        <v>21</v>
      </c>
      <c r="D54" s="7" t="s">
        <v>22</v>
      </c>
      <c r="E54" s="8" t="n">
        <v>138500</v>
      </c>
      <c r="F54" s="7" t="s">
        <v>77</v>
      </c>
      <c r="G54" s="0" t="str">
        <f aca="false">IF(B54="","",IFERROR(VLOOKUP(B54,Справочники!$A$4:$C$18,2,FALSE()),"нет в справочнике"))</f>
        <v>Доход</v>
      </c>
      <c r="H54" s="13" t="n">
        <f aca="false">IF(A54="","",DATE(YEAR(A54),MONTH(A54),1))</f>
        <v>45689</v>
      </c>
    </row>
    <row r="55" customFormat="false" ht="15" hidden="false" customHeight="false" outlineLevel="0" collapsed="false">
      <c r="A55" s="12" t="n">
        <v>45700</v>
      </c>
      <c r="B55" s="7" t="s">
        <v>23</v>
      </c>
      <c r="C55" s="7" t="s">
        <v>24</v>
      </c>
      <c r="D55" s="7" t="s">
        <v>22</v>
      </c>
      <c r="E55" s="8" t="n">
        <v>87600</v>
      </c>
      <c r="F55" s="7" t="s">
        <v>78</v>
      </c>
      <c r="G55" s="0" t="str">
        <f aca="false">IF(B55="","",IFERROR(VLOOKUP(B55,Справочники!$A$4:$C$18,2,FALSE()),"нет в справочнике"))</f>
        <v>Доход</v>
      </c>
      <c r="H55" s="13" t="n">
        <f aca="false">IF(A55="","",DATE(YEAR(A55),MONTH(A55),1))</f>
        <v>45689</v>
      </c>
    </row>
    <row r="56" customFormat="false" ht="15" hidden="false" customHeight="false" outlineLevel="0" collapsed="false">
      <c r="A56" s="12" t="n">
        <v>45700</v>
      </c>
      <c r="B56" s="7" t="s">
        <v>26</v>
      </c>
      <c r="C56" s="7" t="s">
        <v>26</v>
      </c>
      <c r="D56" s="7" t="s">
        <v>27</v>
      </c>
      <c r="E56" s="8" t="n">
        <v>16200</v>
      </c>
      <c r="F56" s="7" t="s">
        <v>49</v>
      </c>
      <c r="G56" s="0" t="str">
        <f aca="false">IF(B56="","",IFERROR(VLOOKUP(B56,Справочники!$A$4:$C$18,2,FALSE()),"нет в справочнике"))</f>
        <v>Доход</v>
      </c>
      <c r="H56" s="13" t="n">
        <f aca="false">IF(A56="","",DATE(YEAR(A56),MONTH(A56),1))</f>
        <v>45689</v>
      </c>
    </row>
    <row r="57" customFormat="false" ht="15" hidden="false" customHeight="false" outlineLevel="0" collapsed="false">
      <c r="A57" s="12" t="n">
        <v>45702</v>
      </c>
      <c r="B57" s="7" t="s">
        <v>39</v>
      </c>
      <c r="C57" s="7" t="s">
        <v>29</v>
      </c>
      <c r="D57" s="7" t="s">
        <v>27</v>
      </c>
      <c r="E57" s="8" t="n">
        <v>35700</v>
      </c>
      <c r="F57" s="7" t="s">
        <v>53</v>
      </c>
      <c r="G57" s="0" t="str">
        <f aca="false">IF(B57="","",IFERROR(VLOOKUP(B57,Справочники!$A$4:$C$18,2,FALSE()),"нет в справочнике"))</f>
        <v>Расход</v>
      </c>
      <c r="H57" s="13" t="n">
        <f aca="false">IF(A57="","",DATE(YEAR(A57),MONTH(A57),1))</f>
        <v>45689</v>
      </c>
    </row>
    <row r="58" customFormat="false" ht="15" hidden="false" customHeight="false" outlineLevel="0" collapsed="false">
      <c r="A58" s="12" t="n">
        <v>45703</v>
      </c>
      <c r="B58" s="7" t="s">
        <v>26</v>
      </c>
      <c r="C58" s="7" t="s">
        <v>26</v>
      </c>
      <c r="D58" s="7" t="s">
        <v>25</v>
      </c>
      <c r="E58" s="8" t="n">
        <v>19800</v>
      </c>
      <c r="F58" s="7" t="s">
        <v>49</v>
      </c>
      <c r="G58" s="0" t="str">
        <f aca="false">IF(B58="","",IFERROR(VLOOKUP(B58,Справочники!$A$4:$C$18,2,FALSE()),"нет в справочнике"))</f>
        <v>Доход</v>
      </c>
      <c r="H58" s="13" t="n">
        <f aca="false">IF(A58="","",DATE(YEAR(A58),MONTH(A58),1))</f>
        <v>45689</v>
      </c>
    </row>
    <row r="59" customFormat="false" ht="15" hidden="false" customHeight="false" outlineLevel="0" collapsed="false">
      <c r="A59" s="12" t="n">
        <v>45703</v>
      </c>
      <c r="B59" s="7" t="s">
        <v>38</v>
      </c>
      <c r="C59" s="7" t="s">
        <v>29</v>
      </c>
      <c r="D59" s="7" t="s">
        <v>22</v>
      </c>
      <c r="E59" s="8" t="n">
        <v>32200</v>
      </c>
      <c r="F59" s="7" t="s">
        <v>63</v>
      </c>
      <c r="G59" s="0" t="str">
        <f aca="false">IF(B59="","",IFERROR(VLOOKUP(B59,Справочники!$A$4:$C$18,2,FALSE()),"нет в справочнике"))</f>
        <v>Расход</v>
      </c>
      <c r="H59" s="13" t="n">
        <f aca="false">IF(A59="","",DATE(YEAR(A59),MONTH(A59),1))</f>
        <v>45689</v>
      </c>
    </row>
    <row r="60" customFormat="false" ht="15" hidden="false" customHeight="false" outlineLevel="0" collapsed="false">
      <c r="A60" s="12" t="n">
        <v>45707</v>
      </c>
      <c r="B60" s="7" t="s">
        <v>33</v>
      </c>
      <c r="C60" s="7" t="s">
        <v>24</v>
      </c>
      <c r="D60" s="7" t="s">
        <v>22</v>
      </c>
      <c r="E60" s="8" t="n">
        <v>28600</v>
      </c>
      <c r="F60" s="7" t="s">
        <v>59</v>
      </c>
      <c r="G60" s="0" t="str">
        <f aca="false">IF(B60="","",IFERROR(VLOOKUP(B60,Справочники!$A$4:$C$18,2,FALSE()),"нет в справочнике"))</f>
        <v>Расход</v>
      </c>
      <c r="H60" s="13" t="n">
        <f aca="false">IF(A60="","",DATE(YEAR(A60),MONTH(A60),1))</f>
        <v>45689</v>
      </c>
    </row>
    <row r="61" customFormat="false" ht="15" hidden="false" customHeight="false" outlineLevel="0" collapsed="false">
      <c r="A61" s="12" t="n">
        <v>45708</v>
      </c>
      <c r="B61" s="7" t="s">
        <v>26</v>
      </c>
      <c r="C61" s="7" t="s">
        <v>26</v>
      </c>
      <c r="D61" s="7" t="s">
        <v>25</v>
      </c>
      <c r="E61" s="8" t="n">
        <v>15500</v>
      </c>
      <c r="F61" s="7" t="s">
        <v>49</v>
      </c>
      <c r="G61" s="0" t="str">
        <f aca="false">IF(B61="","",IFERROR(VLOOKUP(B61,Справочники!$A$4:$C$18,2,FALSE()),"нет в справочнике"))</f>
        <v>Доход</v>
      </c>
      <c r="H61" s="13" t="n">
        <f aca="false">IF(A61="","",DATE(YEAR(A61),MONTH(A61),1))</f>
        <v>45689</v>
      </c>
    </row>
    <row r="62" customFormat="false" ht="15" hidden="false" customHeight="false" outlineLevel="0" collapsed="false">
      <c r="A62" s="12" t="n">
        <v>45708</v>
      </c>
      <c r="B62" s="7" t="s">
        <v>41</v>
      </c>
      <c r="C62" s="7" t="s">
        <v>29</v>
      </c>
      <c r="D62" s="7" t="s">
        <v>22</v>
      </c>
      <c r="E62" s="8" t="n">
        <v>12500</v>
      </c>
      <c r="F62" s="7" t="s">
        <v>67</v>
      </c>
      <c r="G62" s="0" t="str">
        <f aca="false">IF(B62="","",IFERROR(VLOOKUP(B62,Справочники!$A$4:$C$18,2,FALSE()),"нет в справочнике"))</f>
        <v>Расход</v>
      </c>
      <c r="H62" s="13" t="n">
        <f aca="false">IF(A62="","",DATE(YEAR(A62),MONTH(A62),1))</f>
        <v>45689</v>
      </c>
    </row>
    <row r="63" customFormat="false" ht="15" hidden="false" customHeight="false" outlineLevel="0" collapsed="false">
      <c r="A63" s="12" t="n">
        <v>45709</v>
      </c>
      <c r="B63" s="7" t="s">
        <v>33</v>
      </c>
      <c r="C63" s="7" t="s">
        <v>24</v>
      </c>
      <c r="D63" s="7" t="s">
        <v>22</v>
      </c>
      <c r="E63" s="8" t="n">
        <v>25400</v>
      </c>
      <c r="F63" s="7" t="s">
        <v>59</v>
      </c>
      <c r="G63" s="0" t="str">
        <f aca="false">IF(B63="","",IFERROR(VLOOKUP(B63,Справочники!$A$4:$C$18,2,FALSE()),"нет в справочнике"))</f>
        <v>Расход</v>
      </c>
      <c r="H63" s="13" t="n">
        <f aca="false">IF(A63="","",DATE(YEAR(A63),MONTH(A63),1))</f>
        <v>45689</v>
      </c>
    </row>
    <row r="64" customFormat="false" ht="15" hidden="false" customHeight="false" outlineLevel="0" collapsed="false">
      <c r="A64" s="12" t="n">
        <v>45710</v>
      </c>
      <c r="B64" s="7" t="s">
        <v>26</v>
      </c>
      <c r="C64" s="7" t="s">
        <v>26</v>
      </c>
      <c r="D64" s="7" t="s">
        <v>27</v>
      </c>
      <c r="E64" s="8" t="n">
        <v>23400</v>
      </c>
      <c r="F64" s="7" t="s">
        <v>49</v>
      </c>
      <c r="G64" s="0" t="str">
        <f aca="false">IF(B64="","",IFERROR(VLOOKUP(B64,Справочники!$A$4:$C$18,2,FALSE()),"нет в справочнике"))</f>
        <v>Доход</v>
      </c>
      <c r="H64" s="13" t="n">
        <f aca="false">IF(A64="","",DATE(YEAR(A64),MONTH(A64),1))</f>
        <v>45689</v>
      </c>
    </row>
    <row r="65" customFormat="false" ht="15" hidden="false" customHeight="false" outlineLevel="0" collapsed="false">
      <c r="A65" s="12" t="n">
        <v>45711</v>
      </c>
      <c r="B65" s="7" t="s">
        <v>23</v>
      </c>
      <c r="C65" s="7" t="s">
        <v>24</v>
      </c>
      <c r="D65" s="7" t="s">
        <v>27</v>
      </c>
      <c r="E65" s="8" t="n">
        <v>77200</v>
      </c>
      <c r="F65" s="7" t="s">
        <v>79</v>
      </c>
      <c r="G65" s="0" t="str">
        <f aca="false">IF(B65="","",IFERROR(VLOOKUP(B65,Справочники!$A$4:$C$18,2,FALSE()),"нет в справочнике"))</f>
        <v>Доход</v>
      </c>
      <c r="H65" s="13" t="n">
        <f aca="false">IF(A65="","",DATE(YEAR(A65),MONTH(A65),1))</f>
        <v>45689</v>
      </c>
    </row>
    <row r="66" customFormat="false" ht="15" hidden="false" customHeight="false" outlineLevel="0" collapsed="false">
      <c r="A66" s="12" t="n">
        <v>45716</v>
      </c>
      <c r="B66" s="7" t="s">
        <v>28</v>
      </c>
      <c r="C66" s="7" t="s">
        <v>24</v>
      </c>
      <c r="D66" s="7" t="s">
        <v>22</v>
      </c>
      <c r="E66" s="8" t="n">
        <v>10100</v>
      </c>
      <c r="F66" s="7" t="s">
        <v>61</v>
      </c>
      <c r="G66" s="0" t="str">
        <f aca="false">IF(B66="","",IFERROR(VLOOKUP(B66,Справочники!$A$4:$C$18,2,FALSE()),"нет в справочнике"))</f>
        <v>Доход</v>
      </c>
      <c r="H66" s="13" t="n">
        <f aca="false">IF(A66="","",DATE(YEAR(A66),MONTH(A66),1))</f>
        <v>45689</v>
      </c>
    </row>
    <row r="67" customFormat="false" ht="15" hidden="false" customHeight="false" outlineLevel="0" collapsed="false">
      <c r="A67" s="12" t="n">
        <v>45716</v>
      </c>
      <c r="B67" s="7" t="s">
        <v>34</v>
      </c>
      <c r="C67" s="7" t="s">
        <v>21</v>
      </c>
      <c r="D67" s="7" t="s">
        <v>22</v>
      </c>
      <c r="E67" s="8" t="n">
        <v>137300</v>
      </c>
      <c r="F67" s="7" t="s">
        <v>68</v>
      </c>
      <c r="G67" s="0" t="str">
        <f aca="false">IF(B67="","",IFERROR(VLOOKUP(B67,Справочники!$A$4:$C$18,2,FALSE()),"нет в справочнике"))</f>
        <v>Расход</v>
      </c>
      <c r="H67" s="13" t="n">
        <f aca="false">IF(A67="","",DATE(YEAR(A67),MONTH(A67),1))</f>
        <v>45689</v>
      </c>
    </row>
    <row r="68" customFormat="false" ht="15" hidden="false" customHeight="false" outlineLevel="0" collapsed="false">
      <c r="A68" s="12" t="n">
        <v>45717</v>
      </c>
      <c r="B68" s="7" t="s">
        <v>26</v>
      </c>
      <c r="C68" s="7" t="s">
        <v>26</v>
      </c>
      <c r="D68" s="7" t="s">
        <v>27</v>
      </c>
      <c r="E68" s="8" t="n">
        <v>29200</v>
      </c>
      <c r="F68" s="7" t="s">
        <v>49</v>
      </c>
      <c r="G68" s="0" t="str">
        <f aca="false">IF(B68="","",IFERROR(VLOOKUP(B68,Справочники!$A$4:$C$18,2,FALSE()),"нет в справочнике"))</f>
        <v>Доход</v>
      </c>
      <c r="H68" s="13" t="n">
        <f aca="false">IF(A68="","",DATE(YEAR(A68),MONTH(A68),1))</f>
        <v>45717</v>
      </c>
    </row>
    <row r="69" customFormat="false" ht="15" hidden="false" customHeight="false" outlineLevel="0" collapsed="false">
      <c r="A69" s="12" t="n">
        <v>45719</v>
      </c>
      <c r="B69" s="7" t="s">
        <v>23</v>
      </c>
      <c r="C69" s="7" t="s">
        <v>24</v>
      </c>
      <c r="D69" s="7" t="s">
        <v>27</v>
      </c>
      <c r="E69" s="8" t="n">
        <v>101100</v>
      </c>
      <c r="F69" s="7" t="s">
        <v>80</v>
      </c>
      <c r="G69" s="0" t="str">
        <f aca="false">IF(B69="","",IFERROR(VLOOKUP(B69,Справочники!$A$4:$C$18,2,FALSE()),"нет в справочнике"))</f>
        <v>Доход</v>
      </c>
      <c r="H69" s="13" t="n">
        <f aca="false">IF(A69="","",DATE(YEAR(A69),MONTH(A69),1))</f>
        <v>45717</v>
      </c>
    </row>
    <row r="70" customFormat="false" ht="15" hidden="false" customHeight="false" outlineLevel="0" collapsed="false">
      <c r="A70" s="12" t="n">
        <v>45720</v>
      </c>
      <c r="B70" s="7" t="s">
        <v>18</v>
      </c>
      <c r="C70" s="7" t="s">
        <v>21</v>
      </c>
      <c r="D70" s="7" t="s">
        <v>22</v>
      </c>
      <c r="E70" s="8" t="n">
        <v>203900</v>
      </c>
      <c r="F70" s="7" t="s">
        <v>81</v>
      </c>
      <c r="G70" s="0" t="str">
        <f aca="false">IF(B70="","",IFERROR(VLOOKUP(B70,Справочники!$A$4:$C$18,2,FALSE()),"нет в справочнике"))</f>
        <v>Доход</v>
      </c>
      <c r="H70" s="13" t="n">
        <f aca="false">IF(A70="","",DATE(YEAR(A70),MONTH(A70),1))</f>
        <v>45717</v>
      </c>
    </row>
    <row r="71" customFormat="false" ht="15" hidden="false" customHeight="false" outlineLevel="0" collapsed="false">
      <c r="A71" s="12" t="n">
        <v>45720</v>
      </c>
      <c r="B71" s="7" t="s">
        <v>31</v>
      </c>
      <c r="C71" s="7" t="s">
        <v>24</v>
      </c>
      <c r="D71" s="7" t="s">
        <v>22</v>
      </c>
      <c r="E71" s="8" t="n">
        <v>142300</v>
      </c>
      <c r="F71" s="7" t="s">
        <v>56</v>
      </c>
      <c r="G71" s="0" t="str">
        <f aca="false">IF(B71="","",IFERROR(VLOOKUP(B71,Справочники!$A$4:$C$18,2,FALSE()),"нет в справочнике"))</f>
        <v>Расход</v>
      </c>
      <c r="H71" s="13" t="n">
        <f aca="false">IF(A71="","",DATE(YEAR(A71),MONTH(A71),1))</f>
        <v>45717</v>
      </c>
    </row>
    <row r="72" customFormat="false" ht="15" hidden="false" customHeight="false" outlineLevel="0" collapsed="false">
      <c r="A72" s="12" t="n">
        <v>45721</v>
      </c>
      <c r="B72" s="7" t="s">
        <v>33</v>
      </c>
      <c r="C72" s="7" t="s">
        <v>21</v>
      </c>
      <c r="D72" s="7" t="s">
        <v>22</v>
      </c>
      <c r="E72" s="8" t="n">
        <v>52300</v>
      </c>
      <c r="F72" s="7" t="s">
        <v>59</v>
      </c>
      <c r="G72" s="0" t="str">
        <f aca="false">IF(B72="","",IFERROR(VLOOKUP(B72,Справочники!$A$4:$C$18,2,FALSE()),"нет в справочнике"))</f>
        <v>Расход</v>
      </c>
      <c r="H72" s="13" t="n">
        <f aca="false">IF(A72="","",DATE(YEAR(A72),MONTH(A72),1))</f>
        <v>45717</v>
      </c>
    </row>
    <row r="73" customFormat="false" ht="15" hidden="false" customHeight="false" outlineLevel="0" collapsed="false">
      <c r="A73" s="12" t="n">
        <v>45721</v>
      </c>
      <c r="B73" s="7" t="s">
        <v>33</v>
      </c>
      <c r="C73" s="7" t="s">
        <v>21</v>
      </c>
      <c r="D73" s="7" t="s">
        <v>22</v>
      </c>
      <c r="E73" s="8" t="n">
        <v>41400</v>
      </c>
      <c r="F73" s="7" t="s">
        <v>59</v>
      </c>
      <c r="G73" s="0" t="str">
        <f aca="false">IF(B73="","",IFERROR(VLOOKUP(B73,Справочники!$A$4:$C$18,2,FALSE()),"нет в справочнике"))</f>
        <v>Расход</v>
      </c>
      <c r="H73" s="13" t="n">
        <f aca="false">IF(A73="","",DATE(YEAR(A73),MONTH(A73),1))</f>
        <v>45717</v>
      </c>
    </row>
    <row r="74" customFormat="false" ht="15" hidden="false" customHeight="false" outlineLevel="0" collapsed="false">
      <c r="A74" s="12" t="n">
        <v>45721</v>
      </c>
      <c r="B74" s="7" t="s">
        <v>37</v>
      </c>
      <c r="C74" s="7" t="s">
        <v>29</v>
      </c>
      <c r="D74" s="7" t="s">
        <v>22</v>
      </c>
      <c r="E74" s="8" t="n">
        <v>85000</v>
      </c>
      <c r="F74" s="7" t="s">
        <v>51</v>
      </c>
      <c r="G74" s="0" t="str">
        <f aca="false">IF(B74="","",IFERROR(VLOOKUP(B74,Справочники!$A$4:$C$18,2,FALSE()),"нет в справочнике"))</f>
        <v>Расход</v>
      </c>
      <c r="H74" s="13" t="n">
        <f aca="false">IF(A74="","",DATE(YEAR(A74),MONTH(A74),1))</f>
        <v>45717</v>
      </c>
    </row>
    <row r="75" customFormat="false" ht="15" hidden="false" customHeight="false" outlineLevel="0" collapsed="false">
      <c r="A75" s="12" t="n">
        <v>45722</v>
      </c>
      <c r="B75" s="7" t="s">
        <v>23</v>
      </c>
      <c r="C75" s="7" t="s">
        <v>24</v>
      </c>
      <c r="D75" s="7" t="s">
        <v>22</v>
      </c>
      <c r="E75" s="8" t="n">
        <v>90700</v>
      </c>
      <c r="F75" s="7" t="s">
        <v>82</v>
      </c>
      <c r="G75" s="0" t="str">
        <f aca="false">IF(B75="","",IFERROR(VLOOKUP(B75,Справочники!$A$4:$C$18,2,FALSE()),"нет в справочнике"))</f>
        <v>Доход</v>
      </c>
      <c r="H75" s="13" t="n">
        <f aca="false">IF(A75="","",DATE(YEAR(A75),MONTH(A75),1))</f>
        <v>45717</v>
      </c>
    </row>
    <row r="76" customFormat="false" ht="15" hidden="false" customHeight="false" outlineLevel="0" collapsed="false">
      <c r="A76" s="12" t="n">
        <v>45723</v>
      </c>
      <c r="B76" s="7" t="s">
        <v>23</v>
      </c>
      <c r="C76" s="7" t="s">
        <v>24</v>
      </c>
      <c r="D76" s="7" t="s">
        <v>27</v>
      </c>
      <c r="E76" s="8" t="n">
        <v>70400</v>
      </c>
      <c r="F76" s="7" t="s">
        <v>83</v>
      </c>
      <c r="G76" s="0" t="str">
        <f aca="false">IF(B76="","",IFERROR(VLOOKUP(B76,Справочники!$A$4:$C$18,2,FALSE()),"нет в справочнике"))</f>
        <v>Доход</v>
      </c>
      <c r="H76" s="13" t="n">
        <f aca="false">IF(A76="","",DATE(YEAR(A76),MONTH(A76),1))</f>
        <v>45717</v>
      </c>
    </row>
    <row r="77" customFormat="false" ht="15" hidden="false" customHeight="false" outlineLevel="0" collapsed="false">
      <c r="A77" s="12" t="n">
        <v>45724</v>
      </c>
      <c r="B77" s="7" t="s">
        <v>28</v>
      </c>
      <c r="C77" s="7" t="s">
        <v>24</v>
      </c>
      <c r="D77" s="7" t="s">
        <v>22</v>
      </c>
      <c r="E77" s="8" t="n">
        <v>18700</v>
      </c>
      <c r="F77" s="7" t="s">
        <v>61</v>
      </c>
      <c r="G77" s="0" t="str">
        <f aca="false">IF(B77="","",IFERROR(VLOOKUP(B77,Справочники!$A$4:$C$18,2,FALSE()),"нет в справочнике"))</f>
        <v>Доход</v>
      </c>
      <c r="H77" s="13" t="n">
        <f aca="false">IF(A77="","",DATE(YEAR(A77),MONTH(A77),1))</f>
        <v>45717</v>
      </c>
    </row>
    <row r="78" customFormat="false" ht="15" hidden="false" customHeight="false" outlineLevel="0" collapsed="false">
      <c r="A78" s="12" t="n">
        <v>45725</v>
      </c>
      <c r="B78" s="7" t="s">
        <v>18</v>
      </c>
      <c r="C78" s="7" t="s">
        <v>21</v>
      </c>
      <c r="D78" s="7" t="s">
        <v>22</v>
      </c>
      <c r="E78" s="8" t="n">
        <v>154500</v>
      </c>
      <c r="F78" s="7" t="s">
        <v>84</v>
      </c>
      <c r="G78" s="0" t="str">
        <f aca="false">IF(B78="","",IFERROR(VLOOKUP(B78,Справочники!$A$4:$C$18,2,FALSE()),"нет в справочнике"))</f>
        <v>Доход</v>
      </c>
      <c r="H78" s="13" t="n">
        <f aca="false">IF(A78="","",DATE(YEAR(A78),MONTH(A78),1))</f>
        <v>45717</v>
      </c>
    </row>
    <row r="79" customFormat="false" ht="15" hidden="false" customHeight="false" outlineLevel="0" collapsed="false">
      <c r="A79" s="12" t="n">
        <v>45726</v>
      </c>
      <c r="B79" s="7" t="s">
        <v>26</v>
      </c>
      <c r="C79" s="7" t="s">
        <v>26</v>
      </c>
      <c r="D79" s="7" t="s">
        <v>25</v>
      </c>
      <c r="E79" s="8" t="n">
        <v>23600</v>
      </c>
      <c r="F79" s="7" t="s">
        <v>49</v>
      </c>
      <c r="G79" s="0" t="str">
        <f aca="false">IF(B79="","",IFERROR(VLOOKUP(B79,Справочники!$A$4:$C$18,2,FALSE()),"нет в справочнике"))</f>
        <v>Доход</v>
      </c>
      <c r="H79" s="13" t="n">
        <f aca="false">IF(A79="","",DATE(YEAR(A79),MONTH(A79),1))</f>
        <v>45717</v>
      </c>
    </row>
    <row r="80" customFormat="false" ht="15" hidden="false" customHeight="false" outlineLevel="0" collapsed="false">
      <c r="A80" s="12" t="n">
        <v>45726</v>
      </c>
      <c r="B80" s="7" t="s">
        <v>36</v>
      </c>
      <c r="C80" s="7" t="s">
        <v>29</v>
      </c>
      <c r="D80" s="7" t="s">
        <v>22</v>
      </c>
      <c r="E80" s="8" t="n">
        <v>210000</v>
      </c>
      <c r="F80" s="7" t="s">
        <v>57</v>
      </c>
      <c r="G80" s="0" t="str">
        <f aca="false">IF(B80="","",IFERROR(VLOOKUP(B80,Справочники!$A$4:$C$18,2,FALSE()),"нет в справочнике"))</f>
        <v>Расход</v>
      </c>
      <c r="H80" s="13" t="n">
        <f aca="false">IF(A80="","",DATE(YEAR(A80),MONTH(A80),1))</f>
        <v>45717</v>
      </c>
    </row>
    <row r="81" customFormat="false" ht="15" hidden="false" customHeight="false" outlineLevel="0" collapsed="false">
      <c r="A81" s="12" t="n">
        <v>45728</v>
      </c>
      <c r="B81" s="7" t="s">
        <v>31</v>
      </c>
      <c r="C81" s="7" t="s">
        <v>24</v>
      </c>
      <c r="D81" s="7" t="s">
        <v>22</v>
      </c>
      <c r="E81" s="8" t="n">
        <v>115400</v>
      </c>
      <c r="F81" s="7" t="s">
        <v>56</v>
      </c>
      <c r="G81" s="0" t="str">
        <f aca="false">IF(B81="","",IFERROR(VLOOKUP(B81,Справочники!$A$4:$C$18,2,FALSE()),"нет в справочнике"))</f>
        <v>Расход</v>
      </c>
      <c r="H81" s="13" t="n">
        <f aca="false">IF(A81="","",DATE(YEAR(A81),MONTH(A81),1))</f>
        <v>45717</v>
      </c>
    </row>
    <row r="82" customFormat="false" ht="15" hidden="false" customHeight="false" outlineLevel="0" collapsed="false">
      <c r="A82" s="12" t="n">
        <v>45731</v>
      </c>
      <c r="B82" s="7" t="s">
        <v>23</v>
      </c>
      <c r="C82" s="7" t="s">
        <v>24</v>
      </c>
      <c r="D82" s="7" t="s">
        <v>22</v>
      </c>
      <c r="E82" s="8" t="n">
        <v>102200</v>
      </c>
      <c r="F82" s="7" t="s">
        <v>85</v>
      </c>
      <c r="G82" s="0" t="str">
        <f aca="false">IF(B82="","",IFERROR(VLOOKUP(B82,Справочники!$A$4:$C$18,2,FALSE()),"нет в справочнике"))</f>
        <v>Доход</v>
      </c>
      <c r="H82" s="13" t="n">
        <f aca="false">IF(A82="","",DATE(YEAR(A82),MONTH(A82),1))</f>
        <v>45717</v>
      </c>
    </row>
    <row r="83" customFormat="false" ht="15" hidden="false" customHeight="false" outlineLevel="0" collapsed="false">
      <c r="A83" s="12" t="n">
        <v>45731</v>
      </c>
      <c r="B83" s="7" t="s">
        <v>28</v>
      </c>
      <c r="C83" s="7" t="s">
        <v>24</v>
      </c>
      <c r="D83" s="7" t="s">
        <v>22</v>
      </c>
      <c r="E83" s="8" t="n">
        <v>9800</v>
      </c>
      <c r="F83" s="7" t="s">
        <v>61</v>
      </c>
      <c r="G83" s="0" t="str">
        <f aca="false">IF(B83="","",IFERROR(VLOOKUP(B83,Справочники!$A$4:$C$18,2,FALSE()),"нет в справочнике"))</f>
        <v>Доход</v>
      </c>
      <c r="H83" s="13" t="n">
        <f aca="false">IF(A83="","",DATE(YEAR(A83),MONTH(A83),1))</f>
        <v>45717</v>
      </c>
    </row>
    <row r="84" customFormat="false" ht="15" hidden="false" customHeight="false" outlineLevel="0" collapsed="false">
      <c r="A84" s="12" t="n">
        <v>45731</v>
      </c>
      <c r="B84" s="7" t="s">
        <v>38</v>
      </c>
      <c r="C84" s="7" t="s">
        <v>29</v>
      </c>
      <c r="D84" s="7" t="s">
        <v>22</v>
      </c>
      <c r="E84" s="8" t="n">
        <v>18900</v>
      </c>
      <c r="F84" s="7" t="s">
        <v>63</v>
      </c>
      <c r="G84" s="0" t="str">
        <f aca="false">IF(B84="","",IFERROR(VLOOKUP(B84,Справочники!$A$4:$C$18,2,FALSE()),"нет в справочнике"))</f>
        <v>Расход</v>
      </c>
      <c r="H84" s="13" t="n">
        <f aca="false">IF(A84="","",DATE(YEAR(A84),MONTH(A84),1))</f>
        <v>45717</v>
      </c>
    </row>
    <row r="85" customFormat="false" ht="15" hidden="false" customHeight="false" outlineLevel="0" collapsed="false">
      <c r="A85" s="12" t="n">
        <v>45733</v>
      </c>
      <c r="B85" s="7" t="s">
        <v>28</v>
      </c>
      <c r="C85" s="7" t="s">
        <v>24</v>
      </c>
      <c r="D85" s="7" t="s">
        <v>22</v>
      </c>
      <c r="E85" s="8" t="n">
        <v>19800</v>
      </c>
      <c r="F85" s="7" t="s">
        <v>61</v>
      </c>
      <c r="G85" s="0" t="str">
        <f aca="false">IF(B85="","",IFERROR(VLOOKUP(B85,Справочники!$A$4:$C$18,2,FALSE()),"нет в справочнике"))</f>
        <v>Доход</v>
      </c>
      <c r="H85" s="13" t="n">
        <f aca="false">IF(A85="","",DATE(YEAR(A85),MONTH(A85),1))</f>
        <v>45717</v>
      </c>
    </row>
    <row r="86" customFormat="false" ht="15" hidden="false" customHeight="false" outlineLevel="0" collapsed="false">
      <c r="A86" s="12" t="n">
        <v>45734</v>
      </c>
      <c r="B86" s="7" t="s">
        <v>18</v>
      </c>
      <c r="C86" s="7" t="s">
        <v>21</v>
      </c>
      <c r="D86" s="7" t="s">
        <v>22</v>
      </c>
      <c r="E86" s="8" t="n">
        <v>211600</v>
      </c>
      <c r="F86" s="7" t="s">
        <v>86</v>
      </c>
      <c r="G86" s="0" t="str">
        <f aca="false">IF(B86="","",IFERROR(VLOOKUP(B86,Справочники!$A$4:$C$18,2,FALSE()),"нет в справочнике"))</f>
        <v>Доход</v>
      </c>
      <c r="H86" s="13" t="n">
        <f aca="false">IF(A86="","",DATE(YEAR(A86),MONTH(A86),1))</f>
        <v>45717</v>
      </c>
    </row>
    <row r="87" customFormat="false" ht="15" hidden="false" customHeight="false" outlineLevel="0" collapsed="false">
      <c r="A87" s="12" t="n">
        <v>45736</v>
      </c>
      <c r="B87" s="7" t="s">
        <v>41</v>
      </c>
      <c r="C87" s="7" t="s">
        <v>29</v>
      </c>
      <c r="D87" s="7" t="s">
        <v>22</v>
      </c>
      <c r="E87" s="8" t="n">
        <v>12500</v>
      </c>
      <c r="F87" s="7" t="s">
        <v>67</v>
      </c>
      <c r="G87" s="0" t="str">
        <f aca="false">IF(B87="","",IFERROR(VLOOKUP(B87,Справочники!$A$4:$C$18,2,FALSE()),"нет в справочнике"))</f>
        <v>Расход</v>
      </c>
      <c r="H87" s="13" t="n">
        <f aca="false">IF(A87="","",DATE(YEAR(A87),MONTH(A87),1))</f>
        <v>45717</v>
      </c>
    </row>
    <row r="88" customFormat="false" ht="15" hidden="false" customHeight="false" outlineLevel="0" collapsed="false">
      <c r="A88" s="12" t="n">
        <v>45737</v>
      </c>
      <c r="B88" s="7" t="s">
        <v>39</v>
      </c>
      <c r="C88" s="7" t="s">
        <v>29</v>
      </c>
      <c r="D88" s="7" t="s">
        <v>27</v>
      </c>
      <c r="E88" s="8" t="n">
        <v>37000</v>
      </c>
      <c r="F88" s="7" t="s">
        <v>53</v>
      </c>
      <c r="G88" s="0" t="str">
        <f aca="false">IF(B88="","",IFERROR(VLOOKUP(B88,Справочники!$A$4:$C$18,2,FALSE()),"нет в справочнике"))</f>
        <v>Расход</v>
      </c>
      <c r="H88" s="13" t="n">
        <f aca="false">IF(A88="","",DATE(YEAR(A88),MONTH(A88),1))</f>
        <v>45717</v>
      </c>
    </row>
    <row r="89" customFormat="false" ht="15" hidden="false" customHeight="false" outlineLevel="0" collapsed="false">
      <c r="A89" s="12" t="n">
        <v>45738</v>
      </c>
      <c r="B89" s="7" t="s">
        <v>23</v>
      </c>
      <c r="C89" s="7" t="s">
        <v>24</v>
      </c>
      <c r="D89" s="7" t="s">
        <v>27</v>
      </c>
      <c r="E89" s="8" t="n">
        <v>81600</v>
      </c>
      <c r="F89" s="7" t="s">
        <v>87</v>
      </c>
      <c r="G89" s="0" t="str">
        <f aca="false">IF(B89="","",IFERROR(VLOOKUP(B89,Справочники!$A$4:$C$18,2,FALSE()),"нет в справочнике"))</f>
        <v>Доход</v>
      </c>
      <c r="H89" s="13" t="n">
        <f aca="false">IF(A89="","",DATE(YEAR(A89),MONTH(A89),1))</f>
        <v>45717</v>
      </c>
    </row>
    <row r="90" customFormat="false" ht="15" hidden="false" customHeight="false" outlineLevel="0" collapsed="false">
      <c r="A90" s="12" t="n">
        <v>45738</v>
      </c>
      <c r="B90" s="7" t="s">
        <v>31</v>
      </c>
      <c r="C90" s="7" t="s">
        <v>21</v>
      </c>
      <c r="D90" s="7" t="s">
        <v>22</v>
      </c>
      <c r="E90" s="8" t="n">
        <v>116800</v>
      </c>
      <c r="F90" s="7" t="s">
        <v>56</v>
      </c>
      <c r="G90" s="0" t="str">
        <f aca="false">IF(B90="","",IFERROR(VLOOKUP(B90,Справочники!$A$4:$C$18,2,FALSE()),"нет в справочнике"))</f>
        <v>Расход</v>
      </c>
      <c r="H90" s="13" t="n">
        <f aca="false">IF(A90="","",DATE(YEAR(A90),MONTH(A90),1))</f>
        <v>45717</v>
      </c>
    </row>
    <row r="91" customFormat="false" ht="15" hidden="false" customHeight="false" outlineLevel="0" collapsed="false">
      <c r="A91" s="12" t="n">
        <v>45739</v>
      </c>
      <c r="B91" s="7" t="s">
        <v>18</v>
      </c>
      <c r="C91" s="7" t="s">
        <v>21</v>
      </c>
      <c r="D91" s="7" t="s">
        <v>22</v>
      </c>
      <c r="E91" s="8" t="n">
        <v>223300</v>
      </c>
      <c r="F91" s="7" t="s">
        <v>88</v>
      </c>
      <c r="G91" s="0" t="str">
        <f aca="false">IF(B91="","",IFERROR(VLOOKUP(B91,Справочники!$A$4:$C$18,2,FALSE()),"нет в справочнике"))</f>
        <v>Доход</v>
      </c>
      <c r="H91" s="13" t="n">
        <f aca="false">IF(A91="","",DATE(YEAR(A91),MONTH(A91),1))</f>
        <v>45717</v>
      </c>
    </row>
    <row r="92" customFormat="false" ht="15" hidden="false" customHeight="false" outlineLevel="0" collapsed="false">
      <c r="A92" s="12" t="n">
        <v>45739</v>
      </c>
      <c r="B92" s="7" t="s">
        <v>18</v>
      </c>
      <c r="C92" s="7" t="s">
        <v>21</v>
      </c>
      <c r="D92" s="7" t="s">
        <v>22</v>
      </c>
      <c r="E92" s="8" t="n">
        <v>193900</v>
      </c>
      <c r="F92" s="7" t="s">
        <v>89</v>
      </c>
      <c r="G92" s="0" t="str">
        <f aca="false">IF(B92="","",IFERROR(VLOOKUP(B92,Справочники!$A$4:$C$18,2,FALSE()),"нет в справочнике"))</f>
        <v>Доход</v>
      </c>
      <c r="H92" s="13" t="n">
        <f aca="false">IF(A92="","",DATE(YEAR(A92),MONTH(A92),1))</f>
        <v>45717</v>
      </c>
    </row>
    <row r="93" customFormat="false" ht="15" hidden="false" customHeight="false" outlineLevel="0" collapsed="false">
      <c r="A93" s="12" t="n">
        <v>45739</v>
      </c>
      <c r="B93" s="7" t="s">
        <v>31</v>
      </c>
      <c r="C93" s="7" t="s">
        <v>24</v>
      </c>
      <c r="D93" s="7" t="s">
        <v>22</v>
      </c>
      <c r="E93" s="8" t="n">
        <v>130700</v>
      </c>
      <c r="F93" s="7" t="s">
        <v>56</v>
      </c>
      <c r="G93" s="0" t="str">
        <f aca="false">IF(B93="","",IFERROR(VLOOKUP(B93,Справочники!$A$4:$C$18,2,FALSE()),"нет в справочнике"))</f>
        <v>Расход</v>
      </c>
      <c r="H93" s="13" t="n">
        <f aca="false">IF(A93="","",DATE(YEAR(A93),MONTH(A93),1))</f>
        <v>45717</v>
      </c>
    </row>
    <row r="94" customFormat="false" ht="15" hidden="false" customHeight="false" outlineLevel="0" collapsed="false">
      <c r="A94" s="12" t="n">
        <v>45740</v>
      </c>
      <c r="B94" s="7" t="s">
        <v>23</v>
      </c>
      <c r="C94" s="7" t="s">
        <v>24</v>
      </c>
      <c r="D94" s="7" t="s">
        <v>27</v>
      </c>
      <c r="E94" s="8" t="n">
        <v>109200</v>
      </c>
      <c r="F94" s="7" t="s">
        <v>90</v>
      </c>
      <c r="G94" s="0" t="str">
        <f aca="false">IF(B94="","",IFERROR(VLOOKUP(B94,Справочники!$A$4:$C$18,2,FALSE()),"нет в справочнике"))</f>
        <v>Доход</v>
      </c>
      <c r="H94" s="13" t="n">
        <f aca="false">IF(A94="","",DATE(YEAR(A94),MONTH(A94),1))</f>
        <v>45717</v>
      </c>
    </row>
    <row r="95" customFormat="false" ht="15" hidden="false" customHeight="false" outlineLevel="0" collapsed="false">
      <c r="A95" s="12" t="n">
        <v>45741</v>
      </c>
      <c r="B95" s="7" t="s">
        <v>23</v>
      </c>
      <c r="C95" s="7" t="s">
        <v>24</v>
      </c>
      <c r="D95" s="7" t="s">
        <v>27</v>
      </c>
      <c r="E95" s="8" t="n">
        <v>109900</v>
      </c>
      <c r="F95" s="7" t="s">
        <v>91</v>
      </c>
      <c r="G95" s="0" t="str">
        <f aca="false">IF(B95="","",IFERROR(VLOOKUP(B95,Справочники!$A$4:$C$18,2,FALSE()),"нет в справочнике"))</f>
        <v>Доход</v>
      </c>
      <c r="H95" s="13" t="n">
        <f aca="false">IF(A95="","",DATE(YEAR(A95),MONTH(A95),1))</f>
        <v>45717</v>
      </c>
    </row>
    <row r="96" customFormat="false" ht="15" hidden="false" customHeight="false" outlineLevel="0" collapsed="false">
      <c r="A96" s="12" t="n">
        <v>45742</v>
      </c>
      <c r="B96" s="7" t="s">
        <v>28</v>
      </c>
      <c r="C96" s="7" t="s">
        <v>21</v>
      </c>
      <c r="D96" s="7" t="s">
        <v>22</v>
      </c>
      <c r="E96" s="8" t="n">
        <v>13700</v>
      </c>
      <c r="F96" s="7" t="s">
        <v>61</v>
      </c>
      <c r="G96" s="0" t="str">
        <f aca="false">IF(B96="","",IFERROR(VLOOKUP(B96,Справочники!$A$4:$C$18,2,FALSE()),"нет в справочнике"))</f>
        <v>Доход</v>
      </c>
      <c r="H96" s="13" t="n">
        <f aca="false">IF(A96="","",DATE(YEAR(A96),MONTH(A96),1))</f>
        <v>45717</v>
      </c>
    </row>
    <row r="97" customFormat="false" ht="15" hidden="false" customHeight="false" outlineLevel="0" collapsed="false">
      <c r="A97" s="12" t="n">
        <v>45742</v>
      </c>
      <c r="B97" s="7" t="s">
        <v>35</v>
      </c>
      <c r="C97" s="7" t="s">
        <v>24</v>
      </c>
      <c r="D97" s="7" t="s">
        <v>27</v>
      </c>
      <c r="E97" s="8" t="n">
        <v>42500</v>
      </c>
      <c r="F97" s="7" t="s">
        <v>55</v>
      </c>
      <c r="G97" s="0" t="str">
        <f aca="false">IF(B97="","",IFERROR(VLOOKUP(B97,Справочники!$A$4:$C$18,2,FALSE()),"нет в справочнике"))</f>
        <v>Расход</v>
      </c>
      <c r="H97" s="13" t="n">
        <f aca="false">IF(A97="","",DATE(YEAR(A97),MONTH(A97),1))</f>
        <v>45717</v>
      </c>
    </row>
    <row r="98" customFormat="false" ht="15" hidden="false" customHeight="false" outlineLevel="0" collapsed="false">
      <c r="A98" s="12" t="n">
        <v>45743</v>
      </c>
      <c r="B98" s="7" t="s">
        <v>28</v>
      </c>
      <c r="C98" s="7" t="s">
        <v>21</v>
      </c>
      <c r="D98" s="7" t="s">
        <v>22</v>
      </c>
      <c r="E98" s="8" t="n">
        <v>15700</v>
      </c>
      <c r="F98" s="7" t="s">
        <v>61</v>
      </c>
      <c r="G98" s="0" t="str">
        <f aca="false">IF(B98="","",IFERROR(VLOOKUP(B98,Справочники!$A$4:$C$18,2,FALSE()),"нет в справочнике"))</f>
        <v>Доход</v>
      </c>
      <c r="H98" s="13" t="n">
        <f aca="false">IF(A98="","",DATE(YEAR(A98),MONTH(A98),1))</f>
        <v>45717</v>
      </c>
    </row>
    <row r="99" customFormat="false" ht="15" hidden="false" customHeight="false" outlineLevel="0" collapsed="false">
      <c r="A99" s="12" t="n">
        <v>45744</v>
      </c>
      <c r="B99" s="7" t="s">
        <v>26</v>
      </c>
      <c r="C99" s="7" t="s">
        <v>26</v>
      </c>
      <c r="D99" s="7" t="s">
        <v>25</v>
      </c>
      <c r="E99" s="8" t="n">
        <v>16600</v>
      </c>
      <c r="F99" s="7" t="s">
        <v>49</v>
      </c>
      <c r="G99" s="0" t="str">
        <f aca="false">IF(B99="","",IFERROR(VLOOKUP(B99,Справочники!$A$4:$C$18,2,FALSE()),"нет в справочнике"))</f>
        <v>Доход</v>
      </c>
      <c r="H99" s="13" t="n">
        <f aca="false">IF(A99="","",DATE(YEAR(A99),MONTH(A99),1))</f>
        <v>45717</v>
      </c>
    </row>
    <row r="100" customFormat="false" ht="15" hidden="false" customHeight="false" outlineLevel="0" collapsed="false">
      <c r="A100" s="12" t="n">
        <v>45744</v>
      </c>
      <c r="B100" s="7" t="s">
        <v>34</v>
      </c>
      <c r="C100" s="7" t="s">
        <v>21</v>
      </c>
      <c r="D100" s="7" t="s">
        <v>22</v>
      </c>
      <c r="E100" s="8" t="n">
        <v>197900</v>
      </c>
      <c r="F100" s="7" t="s">
        <v>68</v>
      </c>
      <c r="G100" s="0" t="str">
        <f aca="false">IF(B100="","",IFERROR(VLOOKUP(B100,Справочники!$A$4:$C$18,2,FALSE()),"нет в справочнике"))</f>
        <v>Расход</v>
      </c>
      <c r="H100" s="13" t="n">
        <f aca="false">IF(A100="","",DATE(YEAR(A100),MONTH(A100),1))</f>
        <v>45717</v>
      </c>
    </row>
    <row r="101" customFormat="false" ht="15" hidden="false" customHeight="false" outlineLevel="0" collapsed="false">
      <c r="A101" s="12" t="n">
        <v>45744</v>
      </c>
      <c r="B101" s="7" t="s">
        <v>40</v>
      </c>
      <c r="C101" s="7" t="s">
        <v>29</v>
      </c>
      <c r="D101" s="7" t="s">
        <v>27</v>
      </c>
      <c r="E101" s="8" t="n">
        <v>32800</v>
      </c>
      <c r="F101" s="7" t="s">
        <v>66</v>
      </c>
      <c r="G101" s="0" t="str">
        <f aca="false">IF(B101="","",IFERROR(VLOOKUP(B101,Справочники!$A$4:$C$18,2,FALSE()),"нет в справочнике"))</f>
        <v>Расход</v>
      </c>
      <c r="H101" s="13" t="n">
        <f aca="false">IF(A101="","",DATE(YEAR(A101),MONTH(A101),1))</f>
        <v>45717</v>
      </c>
    </row>
    <row r="102" customFormat="false" ht="15" hidden="false" customHeight="false" outlineLevel="0" collapsed="false">
      <c r="A102" s="12" t="n">
        <v>45745</v>
      </c>
      <c r="B102" s="7" t="s">
        <v>33</v>
      </c>
      <c r="C102" s="7" t="s">
        <v>21</v>
      </c>
      <c r="D102" s="7" t="s">
        <v>22</v>
      </c>
      <c r="E102" s="8" t="n">
        <v>45200</v>
      </c>
      <c r="F102" s="7" t="s">
        <v>59</v>
      </c>
      <c r="G102" s="0" t="str">
        <f aca="false">IF(B102="","",IFERROR(VLOOKUP(B102,Справочники!$A$4:$C$18,2,FALSE()),"нет в справочнике"))</f>
        <v>Расход</v>
      </c>
      <c r="H102" s="13" t="n">
        <f aca="false">IF(A102="","",DATE(YEAR(A102),MONTH(A102),1))</f>
        <v>45717</v>
      </c>
    </row>
    <row r="103" customFormat="false" ht="15" hidden="false" customHeight="false" outlineLevel="0" collapsed="false">
      <c r="A103" s="12" t="n">
        <v>45748</v>
      </c>
      <c r="B103" s="7" t="s">
        <v>28</v>
      </c>
      <c r="C103" s="7" t="s">
        <v>21</v>
      </c>
      <c r="D103" s="7" t="s">
        <v>22</v>
      </c>
      <c r="E103" s="8" t="n">
        <v>15600</v>
      </c>
      <c r="F103" s="7" t="s">
        <v>61</v>
      </c>
      <c r="G103" s="0" t="str">
        <f aca="false">IF(B103="","",IFERROR(VLOOKUP(B103,Справочники!$A$4:$C$18,2,FALSE()),"нет в справочнике"))</f>
        <v>Доход</v>
      </c>
      <c r="H103" s="13" t="n">
        <f aca="false">IF(A103="","",DATE(YEAR(A103),MONTH(A103),1))</f>
        <v>45748</v>
      </c>
    </row>
    <row r="104" customFormat="false" ht="15" hidden="false" customHeight="false" outlineLevel="0" collapsed="false">
      <c r="A104" s="12" t="n">
        <v>45749</v>
      </c>
      <c r="B104" s="7" t="s">
        <v>26</v>
      </c>
      <c r="C104" s="7" t="s">
        <v>26</v>
      </c>
      <c r="D104" s="7" t="s">
        <v>25</v>
      </c>
      <c r="E104" s="8" t="n">
        <v>21800</v>
      </c>
      <c r="F104" s="7" t="s">
        <v>49</v>
      </c>
      <c r="G104" s="0" t="str">
        <f aca="false">IF(B104="","",IFERROR(VLOOKUP(B104,Справочники!$A$4:$C$18,2,FALSE()),"нет в справочнике"))</f>
        <v>Доход</v>
      </c>
      <c r="H104" s="13" t="n">
        <f aca="false">IF(A104="","",DATE(YEAR(A104),MONTH(A104),1))</f>
        <v>45748</v>
      </c>
    </row>
    <row r="105" customFormat="false" ht="15" hidden="false" customHeight="false" outlineLevel="0" collapsed="false">
      <c r="A105" s="12" t="n">
        <v>45751</v>
      </c>
      <c r="B105" s="7" t="s">
        <v>31</v>
      </c>
      <c r="C105" s="7" t="s">
        <v>24</v>
      </c>
      <c r="D105" s="7" t="s">
        <v>22</v>
      </c>
      <c r="E105" s="8" t="n">
        <v>195400</v>
      </c>
      <c r="F105" s="7" t="s">
        <v>56</v>
      </c>
      <c r="G105" s="0" t="str">
        <f aca="false">IF(B105="","",IFERROR(VLOOKUP(B105,Справочники!$A$4:$C$18,2,FALSE()),"нет в справочнике"))</f>
        <v>Расход</v>
      </c>
      <c r="H105" s="13" t="n">
        <f aca="false">IF(A105="","",DATE(YEAR(A105),MONTH(A105),1))</f>
        <v>45748</v>
      </c>
    </row>
    <row r="106" customFormat="false" ht="15" hidden="false" customHeight="false" outlineLevel="0" collapsed="false">
      <c r="A106" s="12" t="n">
        <v>45752</v>
      </c>
      <c r="B106" s="7" t="s">
        <v>18</v>
      </c>
      <c r="C106" s="7" t="s">
        <v>21</v>
      </c>
      <c r="D106" s="7" t="s">
        <v>22</v>
      </c>
      <c r="E106" s="8" t="n">
        <v>178500</v>
      </c>
      <c r="F106" s="7" t="s">
        <v>92</v>
      </c>
      <c r="G106" s="0" t="str">
        <f aca="false">IF(B106="","",IFERROR(VLOOKUP(B106,Справочники!$A$4:$C$18,2,FALSE()),"нет в справочнике"))</f>
        <v>Доход</v>
      </c>
      <c r="H106" s="13" t="n">
        <f aca="false">IF(A106="","",DATE(YEAR(A106),MONTH(A106),1))</f>
        <v>45748</v>
      </c>
    </row>
    <row r="107" customFormat="false" ht="15" hidden="false" customHeight="false" outlineLevel="0" collapsed="false">
      <c r="A107" s="12" t="n">
        <v>45752</v>
      </c>
      <c r="B107" s="7" t="s">
        <v>33</v>
      </c>
      <c r="C107" s="7" t="s">
        <v>21</v>
      </c>
      <c r="D107" s="7" t="s">
        <v>22</v>
      </c>
      <c r="E107" s="8" t="n">
        <v>55200</v>
      </c>
      <c r="F107" s="7" t="s">
        <v>59</v>
      </c>
      <c r="G107" s="0" t="str">
        <f aca="false">IF(B107="","",IFERROR(VLOOKUP(B107,Справочники!$A$4:$C$18,2,FALSE()),"нет в справочнике"))</f>
        <v>Расход</v>
      </c>
      <c r="H107" s="13" t="n">
        <f aca="false">IF(A107="","",DATE(YEAR(A107),MONTH(A107),1))</f>
        <v>45748</v>
      </c>
    </row>
    <row r="108" customFormat="false" ht="15" hidden="false" customHeight="false" outlineLevel="0" collapsed="false">
      <c r="A108" s="12" t="n">
        <v>45752</v>
      </c>
      <c r="B108" s="7" t="s">
        <v>37</v>
      </c>
      <c r="C108" s="7" t="s">
        <v>29</v>
      </c>
      <c r="D108" s="7" t="s">
        <v>22</v>
      </c>
      <c r="E108" s="8" t="n">
        <v>85000</v>
      </c>
      <c r="F108" s="7" t="s">
        <v>51</v>
      </c>
      <c r="G108" s="0" t="str">
        <f aca="false">IF(B108="","",IFERROR(VLOOKUP(B108,Справочники!$A$4:$C$18,2,FALSE()),"нет в справочнике"))</f>
        <v>Расход</v>
      </c>
      <c r="H108" s="13" t="n">
        <f aca="false">IF(A108="","",DATE(YEAR(A108),MONTH(A108),1))</f>
        <v>45748</v>
      </c>
    </row>
    <row r="109" customFormat="false" ht="15" hidden="false" customHeight="false" outlineLevel="0" collapsed="false">
      <c r="A109" s="12" t="n">
        <v>45754</v>
      </c>
      <c r="B109" s="7" t="s">
        <v>23</v>
      </c>
      <c r="C109" s="7" t="s">
        <v>24</v>
      </c>
      <c r="D109" s="7" t="s">
        <v>27</v>
      </c>
      <c r="E109" s="8" t="n">
        <v>73600</v>
      </c>
      <c r="F109" s="7" t="s">
        <v>93</v>
      </c>
      <c r="G109" s="0" t="str">
        <f aca="false">IF(B109="","",IFERROR(VLOOKUP(B109,Справочники!$A$4:$C$18,2,FALSE()),"нет в справочнике"))</f>
        <v>Доход</v>
      </c>
      <c r="H109" s="13" t="n">
        <f aca="false">IF(A109="","",DATE(YEAR(A109),MONTH(A109),1))</f>
        <v>45748</v>
      </c>
    </row>
    <row r="110" customFormat="false" ht="15" hidden="false" customHeight="false" outlineLevel="0" collapsed="false">
      <c r="A110" s="12" t="n">
        <v>45754</v>
      </c>
      <c r="B110" s="7" t="s">
        <v>26</v>
      </c>
      <c r="C110" s="7" t="s">
        <v>26</v>
      </c>
      <c r="D110" s="7" t="s">
        <v>25</v>
      </c>
      <c r="E110" s="8" t="n">
        <v>27600</v>
      </c>
      <c r="F110" s="7" t="s">
        <v>49</v>
      </c>
      <c r="G110" s="0" t="str">
        <f aca="false">IF(B110="","",IFERROR(VLOOKUP(B110,Справочники!$A$4:$C$18,2,FALSE()),"нет в справочнике"))</f>
        <v>Доход</v>
      </c>
      <c r="H110" s="13" t="n">
        <f aca="false">IF(A110="","",DATE(YEAR(A110),MONTH(A110),1))</f>
        <v>45748</v>
      </c>
    </row>
    <row r="111" customFormat="false" ht="15" hidden="false" customHeight="false" outlineLevel="0" collapsed="false">
      <c r="A111" s="12" t="n">
        <v>45757</v>
      </c>
      <c r="B111" s="7" t="s">
        <v>31</v>
      </c>
      <c r="C111" s="7" t="s">
        <v>21</v>
      </c>
      <c r="D111" s="7" t="s">
        <v>22</v>
      </c>
      <c r="E111" s="8" t="n">
        <v>194400</v>
      </c>
      <c r="F111" s="7" t="s">
        <v>56</v>
      </c>
      <c r="G111" s="0" t="str">
        <f aca="false">IF(B111="","",IFERROR(VLOOKUP(B111,Справочники!$A$4:$C$18,2,FALSE()),"нет в справочнике"))</f>
        <v>Расход</v>
      </c>
      <c r="H111" s="13" t="n">
        <f aca="false">IF(A111="","",DATE(YEAR(A111),MONTH(A111),1))</f>
        <v>45748</v>
      </c>
    </row>
    <row r="112" customFormat="false" ht="15" hidden="false" customHeight="false" outlineLevel="0" collapsed="false">
      <c r="A112" s="12" t="n">
        <v>45757</v>
      </c>
      <c r="B112" s="7" t="s">
        <v>36</v>
      </c>
      <c r="C112" s="7" t="s">
        <v>29</v>
      </c>
      <c r="D112" s="7" t="s">
        <v>22</v>
      </c>
      <c r="E112" s="8" t="n">
        <v>210000</v>
      </c>
      <c r="F112" s="7" t="s">
        <v>57</v>
      </c>
      <c r="G112" s="0" t="str">
        <f aca="false">IF(B112="","",IFERROR(VLOOKUP(B112,Справочники!$A$4:$C$18,2,FALSE()),"нет в справочнике"))</f>
        <v>Расход</v>
      </c>
      <c r="H112" s="13" t="n">
        <f aca="false">IF(A112="","",DATE(YEAR(A112),MONTH(A112),1))</f>
        <v>45748</v>
      </c>
    </row>
    <row r="113" customFormat="false" ht="15" hidden="false" customHeight="false" outlineLevel="0" collapsed="false">
      <c r="A113" s="12" t="n">
        <v>45760</v>
      </c>
      <c r="B113" s="7" t="s">
        <v>18</v>
      </c>
      <c r="C113" s="7" t="s">
        <v>21</v>
      </c>
      <c r="D113" s="7" t="s">
        <v>22</v>
      </c>
      <c r="E113" s="8" t="n">
        <v>185600</v>
      </c>
      <c r="F113" s="7" t="s">
        <v>94</v>
      </c>
      <c r="G113" s="0" t="str">
        <f aca="false">IF(B113="","",IFERROR(VLOOKUP(B113,Справочники!$A$4:$C$18,2,FALSE()),"нет в справочнике"))</f>
        <v>Доход</v>
      </c>
      <c r="H113" s="13" t="n">
        <f aca="false">IF(A113="","",DATE(YEAR(A113),MONTH(A113),1))</f>
        <v>45748</v>
      </c>
    </row>
    <row r="114" customFormat="false" ht="15" hidden="false" customHeight="false" outlineLevel="0" collapsed="false">
      <c r="A114" s="12" t="n">
        <v>45761</v>
      </c>
      <c r="B114" s="7" t="s">
        <v>18</v>
      </c>
      <c r="C114" s="7" t="s">
        <v>21</v>
      </c>
      <c r="D114" s="7" t="s">
        <v>22</v>
      </c>
      <c r="E114" s="8" t="n">
        <v>171600</v>
      </c>
      <c r="F114" s="7" t="s">
        <v>95</v>
      </c>
      <c r="G114" s="0" t="str">
        <f aca="false">IF(B114="","",IFERROR(VLOOKUP(B114,Справочники!$A$4:$C$18,2,FALSE()),"нет в справочнике"))</f>
        <v>Доход</v>
      </c>
      <c r="H114" s="13" t="n">
        <f aca="false">IF(A114="","",DATE(YEAR(A114),MONTH(A114),1))</f>
        <v>45748</v>
      </c>
    </row>
    <row r="115" customFormat="false" ht="15" hidden="false" customHeight="false" outlineLevel="0" collapsed="false">
      <c r="A115" s="12" t="n">
        <v>45762</v>
      </c>
      <c r="B115" s="7" t="s">
        <v>38</v>
      </c>
      <c r="C115" s="7" t="s">
        <v>29</v>
      </c>
      <c r="D115" s="7" t="s">
        <v>22</v>
      </c>
      <c r="E115" s="8" t="n">
        <v>24100</v>
      </c>
      <c r="F115" s="7" t="s">
        <v>63</v>
      </c>
      <c r="G115" s="0" t="str">
        <f aca="false">IF(B115="","",IFERROR(VLOOKUP(B115,Справочники!$A$4:$C$18,2,FALSE()),"нет в справочнике"))</f>
        <v>Расход</v>
      </c>
      <c r="H115" s="13" t="n">
        <f aca="false">IF(A115="","",DATE(YEAR(A115),MONTH(A115),1))</f>
        <v>45748</v>
      </c>
    </row>
    <row r="116" customFormat="false" ht="15" hidden="false" customHeight="false" outlineLevel="0" collapsed="false">
      <c r="A116" s="12" t="n">
        <v>45763</v>
      </c>
      <c r="B116" s="7" t="s">
        <v>28</v>
      </c>
      <c r="C116" s="7" t="s">
        <v>21</v>
      </c>
      <c r="D116" s="7" t="s">
        <v>22</v>
      </c>
      <c r="E116" s="8" t="n">
        <v>13100</v>
      </c>
      <c r="F116" s="7" t="s">
        <v>61</v>
      </c>
      <c r="G116" s="0" t="str">
        <f aca="false">IF(B116="","",IFERROR(VLOOKUP(B116,Справочники!$A$4:$C$18,2,FALSE()),"нет в справочнике"))</f>
        <v>Доход</v>
      </c>
      <c r="H116" s="13" t="n">
        <f aca="false">IF(A116="","",DATE(YEAR(A116),MONTH(A116),1))</f>
        <v>45748</v>
      </c>
    </row>
    <row r="117" customFormat="false" ht="15" hidden="false" customHeight="false" outlineLevel="0" collapsed="false">
      <c r="A117" s="12" t="n">
        <v>45764</v>
      </c>
      <c r="B117" s="7" t="s">
        <v>23</v>
      </c>
      <c r="C117" s="7" t="s">
        <v>24</v>
      </c>
      <c r="D117" s="7" t="s">
        <v>22</v>
      </c>
      <c r="E117" s="8" t="n">
        <v>137700</v>
      </c>
      <c r="F117" s="7" t="s">
        <v>96</v>
      </c>
      <c r="G117" s="0" t="str">
        <f aca="false">IF(B117="","",IFERROR(VLOOKUP(B117,Справочники!$A$4:$C$18,2,FALSE()),"нет в справочнике"))</f>
        <v>Доход</v>
      </c>
      <c r="H117" s="13" t="n">
        <f aca="false">IF(A117="","",DATE(YEAR(A117),MONTH(A117),1))</f>
        <v>45748</v>
      </c>
    </row>
    <row r="118" customFormat="false" ht="15" hidden="false" customHeight="false" outlineLevel="0" collapsed="false">
      <c r="A118" s="12" t="n">
        <v>45767</v>
      </c>
      <c r="B118" s="7" t="s">
        <v>18</v>
      </c>
      <c r="C118" s="7" t="s">
        <v>21</v>
      </c>
      <c r="D118" s="7" t="s">
        <v>22</v>
      </c>
      <c r="E118" s="8" t="n">
        <v>189500</v>
      </c>
      <c r="F118" s="7" t="s">
        <v>97</v>
      </c>
      <c r="G118" s="0" t="str">
        <f aca="false">IF(B118="","",IFERROR(VLOOKUP(B118,Справочники!$A$4:$C$18,2,FALSE()),"нет в справочнике"))</f>
        <v>Доход</v>
      </c>
      <c r="H118" s="13" t="n">
        <f aca="false">IF(A118="","",DATE(YEAR(A118),MONTH(A118),1))</f>
        <v>45748</v>
      </c>
    </row>
    <row r="119" customFormat="false" ht="15" hidden="false" customHeight="false" outlineLevel="0" collapsed="false">
      <c r="A119" s="12" t="n">
        <v>45767</v>
      </c>
      <c r="B119" s="7" t="s">
        <v>40</v>
      </c>
      <c r="C119" s="7" t="s">
        <v>29</v>
      </c>
      <c r="D119" s="7" t="s">
        <v>27</v>
      </c>
      <c r="E119" s="8" t="n">
        <v>18700</v>
      </c>
      <c r="F119" s="7" t="s">
        <v>66</v>
      </c>
      <c r="G119" s="0" t="str">
        <f aca="false">IF(B119="","",IFERROR(VLOOKUP(B119,Справочники!$A$4:$C$18,2,FALSE()),"нет в справочнике"))</f>
        <v>Расход</v>
      </c>
      <c r="H119" s="13" t="n">
        <f aca="false">IF(A119="","",DATE(YEAR(A119),MONTH(A119),1))</f>
        <v>45748</v>
      </c>
    </row>
    <row r="120" customFormat="false" ht="15" hidden="false" customHeight="false" outlineLevel="0" collapsed="false">
      <c r="A120" s="12" t="n">
        <v>45767</v>
      </c>
      <c r="B120" s="7" t="s">
        <v>41</v>
      </c>
      <c r="C120" s="7" t="s">
        <v>29</v>
      </c>
      <c r="D120" s="7" t="s">
        <v>22</v>
      </c>
      <c r="E120" s="8" t="n">
        <v>12500</v>
      </c>
      <c r="F120" s="7" t="s">
        <v>67</v>
      </c>
      <c r="G120" s="0" t="str">
        <f aca="false">IF(B120="","",IFERROR(VLOOKUP(B120,Справочники!$A$4:$C$18,2,FALSE()),"нет в справочнике"))</f>
        <v>Расход</v>
      </c>
      <c r="H120" s="13" t="n">
        <f aca="false">IF(A120="","",DATE(YEAR(A120),MONTH(A120),1))</f>
        <v>45748</v>
      </c>
    </row>
    <row r="121" customFormat="false" ht="15" hidden="false" customHeight="false" outlineLevel="0" collapsed="false">
      <c r="A121" s="12" t="n">
        <v>45770</v>
      </c>
      <c r="B121" s="7" t="s">
        <v>33</v>
      </c>
      <c r="C121" s="7" t="s">
        <v>24</v>
      </c>
      <c r="D121" s="7" t="s">
        <v>22</v>
      </c>
      <c r="E121" s="8" t="n">
        <v>42700</v>
      </c>
      <c r="F121" s="7" t="s">
        <v>59</v>
      </c>
      <c r="G121" s="0" t="str">
        <f aca="false">IF(B121="","",IFERROR(VLOOKUP(B121,Справочники!$A$4:$C$18,2,FALSE()),"нет в справочнике"))</f>
        <v>Расход</v>
      </c>
      <c r="H121" s="13" t="n">
        <f aca="false">IF(A121="","",DATE(YEAR(A121),MONTH(A121),1))</f>
        <v>45748</v>
      </c>
    </row>
    <row r="122" customFormat="false" ht="15" hidden="false" customHeight="false" outlineLevel="0" collapsed="false">
      <c r="A122" s="12" t="n">
        <v>45770</v>
      </c>
      <c r="B122" s="7" t="s">
        <v>35</v>
      </c>
      <c r="C122" s="7" t="s">
        <v>24</v>
      </c>
      <c r="D122" s="7" t="s">
        <v>27</v>
      </c>
      <c r="E122" s="8" t="n">
        <v>39300</v>
      </c>
      <c r="F122" s="7" t="s">
        <v>55</v>
      </c>
      <c r="G122" s="0" t="str">
        <f aca="false">IF(B122="","",IFERROR(VLOOKUP(B122,Справочники!$A$4:$C$18,2,FALSE()),"нет в справочнике"))</f>
        <v>Расход</v>
      </c>
      <c r="H122" s="13" t="n">
        <f aca="false">IF(A122="","",DATE(YEAR(A122),MONTH(A122),1))</f>
        <v>45748</v>
      </c>
    </row>
    <row r="123" customFormat="false" ht="15" hidden="false" customHeight="false" outlineLevel="0" collapsed="false">
      <c r="A123" s="12" t="n">
        <v>45772</v>
      </c>
      <c r="B123" s="7" t="s">
        <v>23</v>
      </c>
      <c r="C123" s="7" t="s">
        <v>24</v>
      </c>
      <c r="D123" s="7" t="s">
        <v>22</v>
      </c>
      <c r="E123" s="8" t="n">
        <v>133200</v>
      </c>
      <c r="F123" s="7" t="s">
        <v>98</v>
      </c>
      <c r="G123" s="0" t="str">
        <f aca="false">IF(B123="","",IFERROR(VLOOKUP(B123,Справочники!$A$4:$C$18,2,FALSE()),"нет в справочнике"))</f>
        <v>Доход</v>
      </c>
      <c r="H123" s="13" t="n">
        <f aca="false">IF(A123="","",DATE(YEAR(A123),MONTH(A123),1))</f>
        <v>45748</v>
      </c>
    </row>
    <row r="124" customFormat="false" ht="15" hidden="false" customHeight="false" outlineLevel="0" collapsed="false">
      <c r="A124" s="12" t="n">
        <v>45772</v>
      </c>
      <c r="B124" s="7" t="s">
        <v>28</v>
      </c>
      <c r="C124" s="7" t="s">
        <v>24</v>
      </c>
      <c r="D124" s="7" t="s">
        <v>22</v>
      </c>
      <c r="E124" s="8" t="n">
        <v>21700</v>
      </c>
      <c r="F124" s="7" t="s">
        <v>61</v>
      </c>
      <c r="G124" s="0" t="str">
        <f aca="false">IF(B124="","",IFERROR(VLOOKUP(B124,Справочники!$A$4:$C$18,2,FALSE()),"нет в справочнике"))</f>
        <v>Доход</v>
      </c>
      <c r="H124" s="13" t="n">
        <f aca="false">IF(A124="","",DATE(YEAR(A124),MONTH(A124),1))</f>
        <v>45748</v>
      </c>
    </row>
    <row r="125" customFormat="false" ht="15" hidden="false" customHeight="false" outlineLevel="0" collapsed="false">
      <c r="A125" s="12" t="n">
        <v>45772</v>
      </c>
      <c r="B125" s="7" t="s">
        <v>42</v>
      </c>
      <c r="C125" s="7" t="s">
        <v>29</v>
      </c>
      <c r="D125" s="7" t="s">
        <v>22</v>
      </c>
      <c r="E125" s="8" t="n">
        <v>251600</v>
      </c>
      <c r="F125" s="7" t="s">
        <v>99</v>
      </c>
      <c r="G125" s="0" t="str">
        <f aca="false">IF(B125="","",IFERROR(VLOOKUP(B125,Справочники!$A$4:$C$18,2,FALSE()),"нет в справочнике"))</f>
        <v>Расход</v>
      </c>
      <c r="H125" s="13" t="n">
        <f aca="false">IF(A125="","",DATE(YEAR(A125),MONTH(A125),1))</f>
        <v>45748</v>
      </c>
    </row>
    <row r="126" customFormat="false" ht="15" hidden="false" customHeight="false" outlineLevel="0" collapsed="false">
      <c r="A126" s="12" t="n">
        <v>45773</v>
      </c>
      <c r="B126" s="7" t="s">
        <v>18</v>
      </c>
      <c r="C126" s="7" t="s">
        <v>21</v>
      </c>
      <c r="D126" s="7" t="s">
        <v>22</v>
      </c>
      <c r="E126" s="8" t="n">
        <v>213000</v>
      </c>
      <c r="F126" s="7" t="s">
        <v>100</v>
      </c>
      <c r="G126" s="0" t="str">
        <f aca="false">IF(B126="","",IFERROR(VLOOKUP(B126,Справочники!$A$4:$C$18,2,FALSE()),"нет в справочнике"))</f>
        <v>Доход</v>
      </c>
      <c r="H126" s="13" t="n">
        <f aca="false">IF(A126="","",DATE(YEAR(A126),MONTH(A126),1))</f>
        <v>45748</v>
      </c>
    </row>
    <row r="127" customFormat="false" ht="15" hidden="false" customHeight="false" outlineLevel="0" collapsed="false">
      <c r="A127" s="12" t="n">
        <v>45773</v>
      </c>
      <c r="B127" s="7" t="s">
        <v>26</v>
      </c>
      <c r="C127" s="7" t="s">
        <v>26</v>
      </c>
      <c r="D127" s="7" t="s">
        <v>27</v>
      </c>
      <c r="E127" s="8" t="n">
        <v>13500</v>
      </c>
      <c r="F127" s="7" t="s">
        <v>49</v>
      </c>
      <c r="G127" s="0" t="str">
        <f aca="false">IF(B127="","",IFERROR(VLOOKUP(B127,Справочники!$A$4:$C$18,2,FALSE()),"нет в справочнике"))</f>
        <v>Доход</v>
      </c>
      <c r="H127" s="13" t="n">
        <f aca="false">IF(A127="","",DATE(YEAR(A127),MONTH(A127),1))</f>
        <v>45748</v>
      </c>
    </row>
    <row r="128" customFormat="false" ht="15" hidden="false" customHeight="false" outlineLevel="0" collapsed="false">
      <c r="A128" s="12" t="n">
        <v>45773</v>
      </c>
      <c r="B128" s="7" t="s">
        <v>31</v>
      </c>
      <c r="C128" s="7" t="s">
        <v>21</v>
      </c>
      <c r="D128" s="7" t="s">
        <v>22</v>
      </c>
      <c r="E128" s="8" t="n">
        <v>186100</v>
      </c>
      <c r="F128" s="7" t="s">
        <v>56</v>
      </c>
      <c r="G128" s="0" t="str">
        <f aca="false">IF(B128="","",IFERROR(VLOOKUP(B128,Справочники!$A$4:$C$18,2,FALSE()),"нет в справочнике"))</f>
        <v>Расход</v>
      </c>
      <c r="H128" s="13" t="n">
        <f aca="false">IF(A128="","",DATE(YEAR(A128),MONTH(A128),1))</f>
        <v>45748</v>
      </c>
    </row>
    <row r="129" customFormat="false" ht="15" hidden="false" customHeight="false" outlineLevel="0" collapsed="false">
      <c r="A129" s="12" t="n">
        <v>45773</v>
      </c>
      <c r="B129" s="7" t="s">
        <v>39</v>
      </c>
      <c r="C129" s="7" t="s">
        <v>29</v>
      </c>
      <c r="D129" s="7" t="s">
        <v>27</v>
      </c>
      <c r="E129" s="8" t="n">
        <v>33500</v>
      </c>
      <c r="F129" s="7" t="s">
        <v>53</v>
      </c>
      <c r="G129" s="0" t="str">
        <f aca="false">IF(B129="","",IFERROR(VLOOKUP(B129,Справочники!$A$4:$C$18,2,FALSE()),"нет в справочнике"))</f>
        <v>Расход</v>
      </c>
      <c r="H129" s="13" t="n">
        <f aca="false">IF(A129="","",DATE(YEAR(A129),MONTH(A129),1))</f>
        <v>45748</v>
      </c>
    </row>
    <row r="130" customFormat="false" ht="15" hidden="false" customHeight="false" outlineLevel="0" collapsed="false">
      <c r="A130" s="12" t="n">
        <v>45774</v>
      </c>
      <c r="B130" s="7" t="s">
        <v>18</v>
      </c>
      <c r="C130" s="7" t="s">
        <v>21</v>
      </c>
      <c r="D130" s="7" t="s">
        <v>22</v>
      </c>
      <c r="E130" s="8" t="n">
        <v>216900</v>
      </c>
      <c r="F130" s="7" t="s">
        <v>97</v>
      </c>
      <c r="G130" s="0" t="str">
        <f aca="false">IF(B130="","",IFERROR(VLOOKUP(B130,Справочники!$A$4:$C$18,2,FALSE()),"нет в справочнике"))</f>
        <v>Доход</v>
      </c>
      <c r="H130" s="13" t="n">
        <f aca="false">IF(A130="","",DATE(YEAR(A130),MONTH(A130),1))</f>
        <v>45748</v>
      </c>
    </row>
    <row r="131" customFormat="false" ht="15" hidden="false" customHeight="false" outlineLevel="0" collapsed="false">
      <c r="A131" s="12" t="n">
        <v>45774</v>
      </c>
      <c r="B131" s="7" t="s">
        <v>23</v>
      </c>
      <c r="C131" s="7" t="s">
        <v>24</v>
      </c>
      <c r="D131" s="7" t="s">
        <v>22</v>
      </c>
      <c r="E131" s="8" t="n">
        <v>129200</v>
      </c>
      <c r="F131" s="7" t="s">
        <v>101</v>
      </c>
      <c r="G131" s="0" t="str">
        <f aca="false">IF(B131="","",IFERROR(VLOOKUP(B131,Справочники!$A$4:$C$18,2,FALSE()),"нет в справочнике"))</f>
        <v>Доход</v>
      </c>
      <c r="H131" s="13" t="n">
        <f aca="false">IF(A131="","",DATE(YEAR(A131),MONTH(A131),1))</f>
        <v>45748</v>
      </c>
    </row>
    <row r="132" customFormat="false" ht="15" hidden="false" customHeight="false" outlineLevel="0" collapsed="false">
      <c r="A132" s="12" t="n">
        <v>45775</v>
      </c>
      <c r="B132" s="7" t="s">
        <v>23</v>
      </c>
      <c r="C132" s="7" t="s">
        <v>24</v>
      </c>
      <c r="D132" s="7" t="s">
        <v>27</v>
      </c>
      <c r="E132" s="8" t="n">
        <v>126800</v>
      </c>
      <c r="F132" s="7" t="s">
        <v>102</v>
      </c>
      <c r="G132" s="0" t="str">
        <f aca="false">IF(B132="","",IFERROR(VLOOKUP(B132,Справочники!$A$4:$C$18,2,FALSE()),"нет в справочнике"))</f>
        <v>Доход</v>
      </c>
      <c r="H132" s="13" t="n">
        <f aca="false">IF(A132="","",DATE(YEAR(A132),MONTH(A132),1))</f>
        <v>45748</v>
      </c>
    </row>
    <row r="133" customFormat="false" ht="15" hidden="false" customHeight="false" outlineLevel="0" collapsed="false">
      <c r="A133" s="12" t="n">
        <v>45775</v>
      </c>
      <c r="B133" s="7" t="s">
        <v>33</v>
      </c>
      <c r="C133" s="7" t="s">
        <v>21</v>
      </c>
      <c r="D133" s="7" t="s">
        <v>22</v>
      </c>
      <c r="E133" s="8" t="n">
        <v>50100</v>
      </c>
      <c r="F133" s="7" t="s">
        <v>59</v>
      </c>
      <c r="G133" s="0" t="str">
        <f aca="false">IF(B133="","",IFERROR(VLOOKUP(B133,Справочники!$A$4:$C$18,2,FALSE()),"нет в справочнике"))</f>
        <v>Расход</v>
      </c>
      <c r="H133" s="13" t="n">
        <f aca="false">IF(A133="","",DATE(YEAR(A133),MONTH(A133),1))</f>
        <v>45748</v>
      </c>
    </row>
    <row r="134" customFormat="false" ht="15" hidden="false" customHeight="false" outlineLevel="0" collapsed="false">
      <c r="A134" s="12" t="n">
        <v>45775</v>
      </c>
      <c r="B134" s="7" t="s">
        <v>34</v>
      </c>
      <c r="C134" s="7" t="s">
        <v>21</v>
      </c>
      <c r="D134" s="7" t="s">
        <v>22</v>
      </c>
      <c r="E134" s="8" t="n">
        <v>205600</v>
      </c>
      <c r="F134" s="7" t="s">
        <v>68</v>
      </c>
      <c r="G134" s="0" t="str">
        <f aca="false">IF(B134="","",IFERROR(VLOOKUP(B134,Справочники!$A$4:$C$18,2,FALSE()),"нет в справочнике"))</f>
        <v>Расход</v>
      </c>
      <c r="H134" s="13" t="n">
        <f aca="false">IF(A134="","",DATE(YEAR(A134),MONTH(A134),1))</f>
        <v>45748</v>
      </c>
    </row>
    <row r="135" customFormat="false" ht="15" hidden="false" customHeight="false" outlineLevel="0" collapsed="false">
      <c r="A135" s="12" t="n">
        <v>45779</v>
      </c>
      <c r="B135" s="7" t="s">
        <v>18</v>
      </c>
      <c r="C135" s="7" t="s">
        <v>21</v>
      </c>
      <c r="D135" s="7" t="s">
        <v>22</v>
      </c>
      <c r="E135" s="8" t="n">
        <v>157600</v>
      </c>
      <c r="F135" s="7" t="s">
        <v>103</v>
      </c>
      <c r="G135" s="0" t="str">
        <f aca="false">IF(B135="","",IFERROR(VLOOKUP(B135,Справочники!$A$4:$C$18,2,FALSE()),"нет в справочнике"))</f>
        <v>Доход</v>
      </c>
      <c r="H135" s="13" t="n">
        <f aca="false">IF(A135="","",DATE(YEAR(A135),MONTH(A135),1))</f>
        <v>45778</v>
      </c>
    </row>
    <row r="136" customFormat="false" ht="15" hidden="false" customHeight="false" outlineLevel="0" collapsed="false">
      <c r="A136" s="12" t="n">
        <v>45781</v>
      </c>
      <c r="B136" s="7" t="s">
        <v>18</v>
      </c>
      <c r="C136" s="7" t="s">
        <v>21</v>
      </c>
      <c r="D136" s="7" t="s">
        <v>22</v>
      </c>
      <c r="E136" s="8" t="n">
        <v>154900</v>
      </c>
      <c r="F136" s="7" t="s">
        <v>104</v>
      </c>
      <c r="G136" s="0" t="str">
        <f aca="false">IF(B136="","",IFERROR(VLOOKUP(B136,Справочники!$A$4:$C$18,2,FALSE()),"нет в справочнике"))</f>
        <v>Доход</v>
      </c>
      <c r="H136" s="13" t="n">
        <f aca="false">IF(A136="","",DATE(YEAR(A136),MONTH(A136),1))</f>
        <v>45778</v>
      </c>
    </row>
    <row r="137" customFormat="false" ht="15" hidden="false" customHeight="false" outlineLevel="0" collapsed="false">
      <c r="A137" s="12" t="n">
        <v>45781</v>
      </c>
      <c r="B137" s="7" t="s">
        <v>26</v>
      </c>
      <c r="C137" s="7" t="s">
        <v>26</v>
      </c>
      <c r="D137" s="7" t="s">
        <v>27</v>
      </c>
      <c r="E137" s="8" t="n">
        <v>12900</v>
      </c>
      <c r="F137" s="7" t="s">
        <v>49</v>
      </c>
      <c r="G137" s="0" t="str">
        <f aca="false">IF(B137="","",IFERROR(VLOOKUP(B137,Справочники!$A$4:$C$18,2,FALSE()),"нет в справочнике"))</f>
        <v>Доход</v>
      </c>
      <c r="H137" s="13" t="n">
        <f aca="false">IF(A137="","",DATE(YEAR(A137),MONTH(A137),1))</f>
        <v>45778</v>
      </c>
    </row>
    <row r="138" customFormat="false" ht="15" hidden="false" customHeight="false" outlineLevel="0" collapsed="false">
      <c r="A138" s="12" t="n">
        <v>45781</v>
      </c>
      <c r="B138" s="7" t="s">
        <v>28</v>
      </c>
      <c r="C138" s="7" t="s">
        <v>24</v>
      </c>
      <c r="D138" s="7" t="s">
        <v>22</v>
      </c>
      <c r="E138" s="8" t="n">
        <v>11300</v>
      </c>
      <c r="F138" s="7" t="s">
        <v>61</v>
      </c>
      <c r="G138" s="0" t="str">
        <f aca="false">IF(B138="","",IFERROR(VLOOKUP(B138,Справочники!$A$4:$C$18,2,FALSE()),"нет в справочнике"))</f>
        <v>Доход</v>
      </c>
      <c r="H138" s="13" t="n">
        <f aca="false">IF(A138="","",DATE(YEAR(A138),MONTH(A138),1))</f>
        <v>45778</v>
      </c>
    </row>
    <row r="139" customFormat="false" ht="15" hidden="false" customHeight="false" outlineLevel="0" collapsed="false">
      <c r="A139" s="12" t="n">
        <v>45781</v>
      </c>
      <c r="B139" s="7" t="s">
        <v>35</v>
      </c>
      <c r="C139" s="7" t="s">
        <v>24</v>
      </c>
      <c r="D139" s="7" t="s">
        <v>27</v>
      </c>
      <c r="E139" s="8" t="n">
        <v>26400</v>
      </c>
      <c r="F139" s="7" t="s">
        <v>55</v>
      </c>
      <c r="G139" s="0" t="str">
        <f aca="false">IF(B139="","",IFERROR(VLOOKUP(B139,Справочники!$A$4:$C$18,2,FALSE()),"нет в справочнике"))</f>
        <v>Расход</v>
      </c>
      <c r="H139" s="13" t="n">
        <f aca="false">IF(A139="","",DATE(YEAR(A139),MONTH(A139),1))</f>
        <v>45778</v>
      </c>
    </row>
    <row r="140" customFormat="false" ht="15" hidden="false" customHeight="false" outlineLevel="0" collapsed="false">
      <c r="A140" s="12" t="n">
        <v>45782</v>
      </c>
      <c r="B140" s="7" t="s">
        <v>18</v>
      </c>
      <c r="C140" s="7" t="s">
        <v>21</v>
      </c>
      <c r="D140" s="7" t="s">
        <v>22</v>
      </c>
      <c r="E140" s="8" t="n">
        <v>252700</v>
      </c>
      <c r="F140" s="7" t="s">
        <v>105</v>
      </c>
      <c r="G140" s="0" t="str">
        <f aca="false">IF(B140="","",IFERROR(VLOOKUP(B140,Справочники!$A$4:$C$18,2,FALSE()),"нет в справочнике"))</f>
        <v>Доход</v>
      </c>
      <c r="H140" s="13" t="n">
        <f aca="false">IF(A140="","",DATE(YEAR(A140),MONTH(A140),1))</f>
        <v>45778</v>
      </c>
    </row>
    <row r="141" customFormat="false" ht="15" hidden="false" customHeight="false" outlineLevel="0" collapsed="false">
      <c r="A141" s="12" t="n">
        <v>45782</v>
      </c>
      <c r="B141" s="7" t="s">
        <v>37</v>
      </c>
      <c r="C141" s="7" t="s">
        <v>29</v>
      </c>
      <c r="D141" s="7" t="s">
        <v>22</v>
      </c>
      <c r="E141" s="8" t="n">
        <v>85000</v>
      </c>
      <c r="F141" s="7" t="s">
        <v>51</v>
      </c>
      <c r="G141" s="0" t="str">
        <f aca="false">IF(B141="","",IFERROR(VLOOKUP(B141,Справочники!$A$4:$C$18,2,FALSE()),"нет в справочнике"))</f>
        <v>Расход</v>
      </c>
      <c r="H141" s="13" t="n">
        <f aca="false">IF(A141="","",DATE(YEAR(A141),MONTH(A141),1))</f>
        <v>45778</v>
      </c>
    </row>
    <row r="142" customFormat="false" ht="15" hidden="false" customHeight="false" outlineLevel="0" collapsed="false">
      <c r="A142" s="12" t="n">
        <v>45785</v>
      </c>
      <c r="B142" s="7" t="s">
        <v>18</v>
      </c>
      <c r="C142" s="7" t="s">
        <v>21</v>
      </c>
      <c r="D142" s="7" t="s">
        <v>22</v>
      </c>
      <c r="E142" s="8" t="n">
        <v>148100</v>
      </c>
      <c r="F142" s="7" t="s">
        <v>106</v>
      </c>
      <c r="G142" s="0" t="str">
        <f aca="false">IF(B142="","",IFERROR(VLOOKUP(B142,Справочники!$A$4:$C$18,2,FALSE()),"нет в справочнике"))</f>
        <v>Доход</v>
      </c>
      <c r="H142" s="13" t="n">
        <f aca="false">IF(A142="","",DATE(YEAR(A142),MONTH(A142),1))</f>
        <v>45778</v>
      </c>
    </row>
    <row r="143" customFormat="false" ht="15" hidden="false" customHeight="false" outlineLevel="0" collapsed="false">
      <c r="A143" s="12" t="n">
        <v>45787</v>
      </c>
      <c r="B143" s="7" t="s">
        <v>36</v>
      </c>
      <c r="C143" s="7" t="s">
        <v>29</v>
      </c>
      <c r="D143" s="7" t="s">
        <v>22</v>
      </c>
      <c r="E143" s="8" t="n">
        <v>210000</v>
      </c>
      <c r="F143" s="7" t="s">
        <v>57</v>
      </c>
      <c r="G143" s="0" t="str">
        <f aca="false">IF(B143="","",IFERROR(VLOOKUP(B143,Справочники!$A$4:$C$18,2,FALSE()),"нет в справочнике"))</f>
        <v>Расход</v>
      </c>
      <c r="H143" s="13" t="n">
        <f aca="false">IF(A143="","",DATE(YEAR(A143),MONTH(A143),1))</f>
        <v>45778</v>
      </c>
    </row>
    <row r="144" customFormat="false" ht="15" hidden="false" customHeight="false" outlineLevel="0" collapsed="false">
      <c r="A144" s="12" t="n">
        <v>45788</v>
      </c>
      <c r="B144" s="7" t="s">
        <v>28</v>
      </c>
      <c r="C144" s="7" t="s">
        <v>24</v>
      </c>
      <c r="D144" s="7" t="s">
        <v>22</v>
      </c>
      <c r="E144" s="8" t="n">
        <v>14800</v>
      </c>
      <c r="F144" s="7" t="s">
        <v>61</v>
      </c>
      <c r="G144" s="0" t="str">
        <f aca="false">IF(B144="","",IFERROR(VLOOKUP(B144,Справочники!$A$4:$C$18,2,FALSE()),"нет в справочнике"))</f>
        <v>Доход</v>
      </c>
      <c r="H144" s="13" t="n">
        <f aca="false">IF(A144="","",DATE(YEAR(A144),MONTH(A144),1))</f>
        <v>45778</v>
      </c>
    </row>
    <row r="145" customFormat="false" ht="15" hidden="false" customHeight="false" outlineLevel="0" collapsed="false">
      <c r="A145" s="12" t="n">
        <v>45788</v>
      </c>
      <c r="B145" s="7" t="s">
        <v>28</v>
      </c>
      <c r="C145" s="7" t="s">
        <v>24</v>
      </c>
      <c r="D145" s="7" t="s">
        <v>22</v>
      </c>
      <c r="E145" s="8" t="n">
        <v>19500</v>
      </c>
      <c r="F145" s="7" t="s">
        <v>61</v>
      </c>
      <c r="G145" s="0" t="str">
        <f aca="false">IF(B145="","",IFERROR(VLOOKUP(B145,Справочники!$A$4:$C$18,2,FALSE()),"нет в справочнике"))</f>
        <v>Доход</v>
      </c>
      <c r="H145" s="13" t="n">
        <f aca="false">IF(A145="","",DATE(YEAR(A145),MONTH(A145),1))</f>
        <v>45778</v>
      </c>
    </row>
    <row r="146" customFormat="false" ht="15" hidden="false" customHeight="false" outlineLevel="0" collapsed="false">
      <c r="A146" s="12" t="n">
        <v>45788</v>
      </c>
      <c r="B146" s="7" t="s">
        <v>31</v>
      </c>
      <c r="C146" s="7" t="s">
        <v>21</v>
      </c>
      <c r="D146" s="7" t="s">
        <v>22</v>
      </c>
      <c r="E146" s="8" t="n">
        <v>129400</v>
      </c>
      <c r="F146" s="7" t="s">
        <v>56</v>
      </c>
      <c r="G146" s="0" t="str">
        <f aca="false">IF(B146="","",IFERROR(VLOOKUP(B146,Справочники!$A$4:$C$18,2,FALSE()),"нет в справочнике"))</f>
        <v>Расход</v>
      </c>
      <c r="H146" s="13" t="n">
        <f aca="false">IF(A146="","",DATE(YEAR(A146),MONTH(A146),1))</f>
        <v>45778</v>
      </c>
    </row>
    <row r="147" customFormat="false" ht="15" hidden="false" customHeight="false" outlineLevel="0" collapsed="false">
      <c r="A147" s="12" t="n">
        <v>45788</v>
      </c>
      <c r="B147" s="7" t="s">
        <v>31</v>
      </c>
      <c r="C147" s="7" t="s">
        <v>21</v>
      </c>
      <c r="D147" s="7" t="s">
        <v>22</v>
      </c>
      <c r="E147" s="8" t="n">
        <v>129000</v>
      </c>
      <c r="F147" s="7" t="s">
        <v>56</v>
      </c>
      <c r="G147" s="0" t="str">
        <f aca="false">IF(B147="","",IFERROR(VLOOKUP(B147,Справочники!$A$4:$C$18,2,FALSE()),"нет в справочнике"))</f>
        <v>Расход</v>
      </c>
      <c r="H147" s="13" t="n">
        <f aca="false">IF(A147="","",DATE(YEAR(A147),MONTH(A147),1))</f>
        <v>45778</v>
      </c>
    </row>
    <row r="148" customFormat="false" ht="15" hidden="false" customHeight="false" outlineLevel="0" collapsed="false">
      <c r="A148" s="12" t="n">
        <v>45792</v>
      </c>
      <c r="B148" s="7" t="s">
        <v>38</v>
      </c>
      <c r="C148" s="7" t="s">
        <v>29</v>
      </c>
      <c r="D148" s="7" t="s">
        <v>22</v>
      </c>
      <c r="E148" s="8" t="n">
        <v>21000</v>
      </c>
      <c r="F148" s="7" t="s">
        <v>63</v>
      </c>
      <c r="G148" s="0" t="str">
        <f aca="false">IF(B148="","",IFERROR(VLOOKUP(B148,Справочники!$A$4:$C$18,2,FALSE()),"нет в справочнике"))</f>
        <v>Расход</v>
      </c>
      <c r="H148" s="13" t="n">
        <f aca="false">IF(A148="","",DATE(YEAR(A148),MONTH(A148),1))</f>
        <v>45778</v>
      </c>
    </row>
    <row r="149" customFormat="false" ht="15" hidden="false" customHeight="false" outlineLevel="0" collapsed="false">
      <c r="A149" s="12" t="n">
        <v>45793</v>
      </c>
      <c r="B149" s="7" t="s">
        <v>39</v>
      </c>
      <c r="C149" s="7" t="s">
        <v>29</v>
      </c>
      <c r="D149" s="7" t="s">
        <v>27</v>
      </c>
      <c r="E149" s="8" t="n">
        <v>28500</v>
      </c>
      <c r="F149" s="7" t="s">
        <v>53</v>
      </c>
      <c r="G149" s="0" t="str">
        <f aca="false">IF(B149="","",IFERROR(VLOOKUP(B149,Справочники!$A$4:$C$18,2,FALSE()),"нет в справочнике"))</f>
        <v>Расход</v>
      </c>
      <c r="H149" s="13" t="n">
        <f aca="false">IF(A149="","",DATE(YEAR(A149),MONTH(A149),1))</f>
        <v>45778</v>
      </c>
    </row>
    <row r="150" customFormat="false" ht="15" hidden="false" customHeight="false" outlineLevel="0" collapsed="false">
      <c r="A150" s="12" t="n">
        <v>45795</v>
      </c>
      <c r="B150" s="7" t="s">
        <v>31</v>
      </c>
      <c r="C150" s="7" t="s">
        <v>24</v>
      </c>
      <c r="D150" s="7" t="s">
        <v>22</v>
      </c>
      <c r="E150" s="8" t="n">
        <v>108500</v>
      </c>
      <c r="F150" s="7" t="s">
        <v>56</v>
      </c>
      <c r="G150" s="0" t="str">
        <f aca="false">IF(B150="","",IFERROR(VLOOKUP(B150,Справочники!$A$4:$C$18,2,FALSE()),"нет в справочнике"))</f>
        <v>Расход</v>
      </c>
      <c r="H150" s="13" t="n">
        <f aca="false">IF(A150="","",DATE(YEAR(A150),MONTH(A150),1))</f>
        <v>45778</v>
      </c>
    </row>
    <row r="151" customFormat="false" ht="15" hidden="false" customHeight="false" outlineLevel="0" collapsed="false">
      <c r="A151" s="12" t="n">
        <v>45796</v>
      </c>
      <c r="B151" s="7" t="s">
        <v>23</v>
      </c>
      <c r="C151" s="7" t="s">
        <v>24</v>
      </c>
      <c r="D151" s="7" t="s">
        <v>22</v>
      </c>
      <c r="E151" s="8" t="n">
        <v>120700</v>
      </c>
      <c r="F151" s="7" t="s">
        <v>107</v>
      </c>
      <c r="G151" s="0" t="str">
        <f aca="false">IF(B151="","",IFERROR(VLOOKUP(B151,Справочники!$A$4:$C$18,2,FALSE()),"нет в справочнике"))</f>
        <v>Доход</v>
      </c>
      <c r="H151" s="13" t="n">
        <f aca="false">IF(A151="","",DATE(YEAR(A151),MONTH(A151),1))</f>
        <v>45778</v>
      </c>
    </row>
    <row r="152" customFormat="false" ht="15" hidden="false" customHeight="false" outlineLevel="0" collapsed="false">
      <c r="A152" s="12" t="n">
        <v>45797</v>
      </c>
      <c r="B152" s="7" t="s">
        <v>40</v>
      </c>
      <c r="C152" s="7" t="s">
        <v>29</v>
      </c>
      <c r="D152" s="7" t="s">
        <v>27</v>
      </c>
      <c r="E152" s="8" t="n">
        <v>27100</v>
      </c>
      <c r="F152" s="7" t="s">
        <v>66</v>
      </c>
      <c r="G152" s="0" t="str">
        <f aca="false">IF(B152="","",IFERROR(VLOOKUP(B152,Справочники!$A$4:$C$18,2,FALSE()),"нет в справочнике"))</f>
        <v>Расход</v>
      </c>
      <c r="H152" s="13" t="n">
        <f aca="false">IF(A152="","",DATE(YEAR(A152),MONTH(A152),1))</f>
        <v>45778</v>
      </c>
    </row>
    <row r="153" customFormat="false" ht="15" hidden="false" customHeight="false" outlineLevel="0" collapsed="false">
      <c r="A153" s="12" t="n">
        <v>45797</v>
      </c>
      <c r="B153" s="7" t="s">
        <v>41</v>
      </c>
      <c r="C153" s="7" t="s">
        <v>29</v>
      </c>
      <c r="D153" s="7" t="s">
        <v>22</v>
      </c>
      <c r="E153" s="8" t="n">
        <v>12500</v>
      </c>
      <c r="F153" s="7" t="s">
        <v>67</v>
      </c>
      <c r="G153" s="0" t="str">
        <f aca="false">IF(B153="","",IFERROR(VLOOKUP(B153,Справочники!$A$4:$C$18,2,FALSE()),"нет в справочнике"))</f>
        <v>Расход</v>
      </c>
      <c r="H153" s="13" t="n">
        <f aca="false">IF(A153="","",DATE(YEAR(A153),MONTH(A153),1))</f>
        <v>45778</v>
      </c>
    </row>
    <row r="154" customFormat="false" ht="15" hidden="false" customHeight="false" outlineLevel="0" collapsed="false">
      <c r="A154" s="12" t="n">
        <v>45798</v>
      </c>
      <c r="B154" s="7" t="s">
        <v>26</v>
      </c>
      <c r="C154" s="7" t="s">
        <v>26</v>
      </c>
      <c r="D154" s="7" t="s">
        <v>27</v>
      </c>
      <c r="E154" s="8" t="n">
        <v>18900</v>
      </c>
      <c r="F154" s="7" t="s">
        <v>49</v>
      </c>
      <c r="G154" s="0" t="str">
        <f aca="false">IF(B154="","",IFERROR(VLOOKUP(B154,Справочники!$A$4:$C$18,2,FALSE()),"нет в справочнике"))</f>
        <v>Доход</v>
      </c>
      <c r="H154" s="13" t="n">
        <f aca="false">IF(A154="","",DATE(YEAR(A154),MONTH(A154),1))</f>
        <v>45778</v>
      </c>
    </row>
    <row r="155" customFormat="false" ht="15" hidden="false" customHeight="false" outlineLevel="0" collapsed="false">
      <c r="A155" s="12" t="n">
        <v>45799</v>
      </c>
      <c r="B155" s="7" t="s">
        <v>26</v>
      </c>
      <c r="C155" s="7" t="s">
        <v>26</v>
      </c>
      <c r="D155" s="7" t="s">
        <v>27</v>
      </c>
      <c r="E155" s="8" t="n">
        <v>23900</v>
      </c>
      <c r="F155" s="7" t="s">
        <v>49</v>
      </c>
      <c r="G155" s="0" t="str">
        <f aca="false">IF(B155="","",IFERROR(VLOOKUP(B155,Справочники!$A$4:$C$18,2,FALSE()),"нет в справочнике"))</f>
        <v>Доход</v>
      </c>
      <c r="H155" s="13" t="n">
        <f aca="false">IF(A155="","",DATE(YEAR(A155),MONTH(A155),1))</f>
        <v>45778</v>
      </c>
    </row>
    <row r="156" customFormat="false" ht="15" hidden="false" customHeight="false" outlineLevel="0" collapsed="false">
      <c r="A156" s="12" t="n">
        <v>45801</v>
      </c>
      <c r="B156" s="7" t="s">
        <v>33</v>
      </c>
      <c r="C156" s="7" t="s">
        <v>21</v>
      </c>
      <c r="D156" s="7" t="s">
        <v>22</v>
      </c>
      <c r="E156" s="8" t="n">
        <v>47600</v>
      </c>
      <c r="F156" s="7" t="s">
        <v>59</v>
      </c>
      <c r="G156" s="0" t="str">
        <f aca="false">IF(B156="","",IFERROR(VLOOKUP(B156,Справочники!$A$4:$C$18,2,FALSE()),"нет в справочнике"))</f>
        <v>Расход</v>
      </c>
      <c r="H156" s="13" t="n">
        <f aca="false">IF(A156="","",DATE(YEAR(A156),MONTH(A156),1))</f>
        <v>45778</v>
      </c>
    </row>
    <row r="157" customFormat="false" ht="15" hidden="false" customHeight="false" outlineLevel="0" collapsed="false">
      <c r="A157" s="12" t="n">
        <v>45802</v>
      </c>
      <c r="B157" s="7" t="s">
        <v>23</v>
      </c>
      <c r="C157" s="7" t="s">
        <v>24</v>
      </c>
      <c r="D157" s="7" t="s">
        <v>27</v>
      </c>
      <c r="E157" s="8" t="n">
        <v>80400</v>
      </c>
      <c r="F157" s="7" t="s">
        <v>108</v>
      </c>
      <c r="G157" s="0" t="str">
        <f aca="false">IF(B157="","",IFERROR(VLOOKUP(B157,Справочники!$A$4:$C$18,2,FALSE()),"нет в справочнике"))</f>
        <v>Доход</v>
      </c>
      <c r="H157" s="13" t="n">
        <f aca="false">IF(A157="","",DATE(YEAR(A157),MONTH(A157),1))</f>
        <v>45778</v>
      </c>
    </row>
    <row r="158" customFormat="false" ht="15" hidden="false" customHeight="false" outlineLevel="0" collapsed="false">
      <c r="A158" s="12" t="n">
        <v>45803</v>
      </c>
      <c r="B158" s="7" t="s">
        <v>26</v>
      </c>
      <c r="C158" s="7" t="s">
        <v>26</v>
      </c>
      <c r="D158" s="7" t="s">
        <v>27</v>
      </c>
      <c r="E158" s="8" t="n">
        <v>32500</v>
      </c>
      <c r="F158" s="7" t="s">
        <v>49</v>
      </c>
      <c r="G158" s="0" t="str">
        <f aca="false">IF(B158="","",IFERROR(VLOOKUP(B158,Справочники!$A$4:$C$18,2,FALSE()),"нет в справочнике"))</f>
        <v>Доход</v>
      </c>
      <c r="H158" s="13" t="n">
        <f aca="false">IF(A158="","",DATE(YEAR(A158),MONTH(A158),1))</f>
        <v>45778</v>
      </c>
    </row>
    <row r="159" customFormat="false" ht="15" hidden="false" customHeight="false" outlineLevel="0" collapsed="false">
      <c r="A159" s="12" t="n">
        <v>45804</v>
      </c>
      <c r="B159" s="7" t="s">
        <v>23</v>
      </c>
      <c r="C159" s="7" t="s">
        <v>24</v>
      </c>
      <c r="D159" s="7" t="s">
        <v>27</v>
      </c>
      <c r="E159" s="8" t="n">
        <v>117600</v>
      </c>
      <c r="F159" s="7" t="s">
        <v>109</v>
      </c>
      <c r="G159" s="0" t="str">
        <f aca="false">IF(B159="","",IFERROR(VLOOKUP(B159,Справочники!$A$4:$C$18,2,FALSE()),"нет в справочнике"))</f>
        <v>Доход</v>
      </c>
      <c r="H159" s="13" t="n">
        <f aca="false">IF(A159="","",DATE(YEAR(A159),MONTH(A159),1))</f>
        <v>45778</v>
      </c>
    </row>
    <row r="160" customFormat="false" ht="15" hidden="false" customHeight="false" outlineLevel="0" collapsed="false">
      <c r="A160" s="12" t="n">
        <v>45804</v>
      </c>
      <c r="B160" s="7" t="s">
        <v>33</v>
      </c>
      <c r="C160" s="7" t="s">
        <v>24</v>
      </c>
      <c r="D160" s="7" t="s">
        <v>22</v>
      </c>
      <c r="E160" s="8" t="n">
        <v>56700</v>
      </c>
      <c r="F160" s="7" t="s">
        <v>59</v>
      </c>
      <c r="G160" s="0" t="str">
        <f aca="false">IF(B160="","",IFERROR(VLOOKUP(B160,Справочники!$A$4:$C$18,2,FALSE()),"нет в справочнике"))</f>
        <v>Расход</v>
      </c>
      <c r="H160" s="13" t="n">
        <f aca="false">IF(A160="","",DATE(YEAR(A160),MONTH(A160),1))</f>
        <v>45778</v>
      </c>
    </row>
    <row r="161" customFormat="false" ht="15" hidden="false" customHeight="false" outlineLevel="0" collapsed="false">
      <c r="A161" s="12" t="n">
        <v>45805</v>
      </c>
      <c r="B161" s="7" t="s">
        <v>34</v>
      </c>
      <c r="C161" s="7" t="s">
        <v>21</v>
      </c>
      <c r="D161" s="7" t="s">
        <v>22</v>
      </c>
      <c r="E161" s="8" t="n">
        <v>137300</v>
      </c>
      <c r="F161" s="7" t="s">
        <v>68</v>
      </c>
      <c r="G161" s="0" t="str">
        <f aca="false">IF(B161="","",IFERROR(VLOOKUP(B161,Справочники!$A$4:$C$18,2,FALSE()),"нет в справочнике"))</f>
        <v>Расход</v>
      </c>
      <c r="H161" s="13" t="n">
        <f aca="false">IF(A161="","",DATE(YEAR(A161),MONTH(A161),1))</f>
        <v>45778</v>
      </c>
    </row>
    <row r="162" customFormat="false" ht="15" hidden="false" customHeight="false" outlineLevel="0" collapsed="false">
      <c r="A162" s="12" t="n">
        <v>45807</v>
      </c>
      <c r="B162" s="7" t="s">
        <v>23</v>
      </c>
      <c r="C162" s="7" t="s">
        <v>24</v>
      </c>
      <c r="D162" s="7" t="s">
        <v>27</v>
      </c>
      <c r="E162" s="8" t="n">
        <v>82100</v>
      </c>
      <c r="F162" s="7" t="s">
        <v>110</v>
      </c>
      <c r="G162" s="0" t="str">
        <f aca="false">IF(B162="","",IFERROR(VLOOKUP(B162,Справочники!$A$4:$C$18,2,FALSE()),"нет в справочнике"))</f>
        <v>Доход</v>
      </c>
      <c r="H162" s="13" t="n">
        <f aca="false">IF(A162="","",DATE(YEAR(A162),MONTH(A162),1))</f>
        <v>45778</v>
      </c>
    </row>
    <row r="163" customFormat="false" ht="15" hidden="false" customHeight="false" outlineLevel="0" collapsed="false">
      <c r="A163" s="12" t="n">
        <v>45811</v>
      </c>
      <c r="B163" s="7" t="s">
        <v>23</v>
      </c>
      <c r="C163" s="7" t="s">
        <v>24</v>
      </c>
      <c r="D163" s="7" t="s">
        <v>27</v>
      </c>
      <c r="E163" s="8" t="n">
        <v>112300</v>
      </c>
      <c r="F163" s="7" t="s">
        <v>111</v>
      </c>
      <c r="G163" s="0" t="str">
        <f aca="false">IF(B163="","",IFERROR(VLOOKUP(B163,Справочники!$A$4:$C$18,2,FALSE()),"нет в справочнике"))</f>
        <v>Доход</v>
      </c>
      <c r="H163" s="13" t="n">
        <f aca="false">IF(A163="","",DATE(YEAR(A163),MONTH(A163),1))</f>
        <v>45809</v>
      </c>
    </row>
    <row r="164" customFormat="false" ht="15" hidden="false" customHeight="false" outlineLevel="0" collapsed="false">
      <c r="A164" s="12" t="n">
        <v>45812</v>
      </c>
      <c r="B164" s="7" t="s">
        <v>23</v>
      </c>
      <c r="C164" s="7" t="s">
        <v>24</v>
      </c>
      <c r="D164" s="7" t="s">
        <v>27</v>
      </c>
      <c r="E164" s="8" t="n">
        <v>102400</v>
      </c>
      <c r="F164" s="7" t="s">
        <v>112</v>
      </c>
      <c r="G164" s="0" t="str">
        <f aca="false">IF(B164="","",IFERROR(VLOOKUP(B164,Справочники!$A$4:$C$18,2,FALSE()),"нет в справочнике"))</f>
        <v>Доход</v>
      </c>
      <c r="H164" s="13" t="n">
        <f aca="false">IF(A164="","",DATE(YEAR(A164),MONTH(A164),1))</f>
        <v>45809</v>
      </c>
    </row>
    <row r="165" customFormat="false" ht="15" hidden="false" customHeight="false" outlineLevel="0" collapsed="false">
      <c r="A165" s="12" t="n">
        <v>45812</v>
      </c>
      <c r="B165" s="7" t="s">
        <v>39</v>
      </c>
      <c r="C165" s="7" t="s">
        <v>29</v>
      </c>
      <c r="D165" s="7" t="s">
        <v>27</v>
      </c>
      <c r="E165" s="8" t="n">
        <v>35600</v>
      </c>
      <c r="F165" s="7" t="s">
        <v>53</v>
      </c>
      <c r="G165" s="0" t="str">
        <f aca="false">IF(B165="","",IFERROR(VLOOKUP(B165,Справочники!$A$4:$C$18,2,FALSE()),"нет в справочнике"))</f>
        <v>Расход</v>
      </c>
      <c r="H165" s="13" t="n">
        <f aca="false">IF(A165="","",DATE(YEAR(A165),MONTH(A165),1))</f>
        <v>45809</v>
      </c>
    </row>
    <row r="166" customFormat="false" ht="15" hidden="false" customHeight="false" outlineLevel="0" collapsed="false">
      <c r="A166" s="12" t="n">
        <v>45813</v>
      </c>
      <c r="B166" s="7" t="s">
        <v>37</v>
      </c>
      <c r="C166" s="7" t="s">
        <v>29</v>
      </c>
      <c r="D166" s="7" t="s">
        <v>22</v>
      </c>
      <c r="E166" s="8" t="n">
        <v>85000</v>
      </c>
      <c r="F166" s="7" t="s">
        <v>51</v>
      </c>
      <c r="G166" s="0" t="str">
        <f aca="false">IF(B166="","",IFERROR(VLOOKUP(B166,Справочники!$A$4:$C$18,2,FALSE()),"нет в справочнике"))</f>
        <v>Расход</v>
      </c>
      <c r="H166" s="13" t="n">
        <f aca="false">IF(A166="","",DATE(YEAR(A166),MONTH(A166),1))</f>
        <v>45809</v>
      </c>
    </row>
    <row r="167" customFormat="false" ht="15" hidden="false" customHeight="false" outlineLevel="0" collapsed="false">
      <c r="A167" s="12" t="n">
        <v>45815</v>
      </c>
      <c r="B167" s="7" t="s">
        <v>40</v>
      </c>
      <c r="C167" s="7" t="s">
        <v>29</v>
      </c>
      <c r="D167" s="7" t="s">
        <v>27</v>
      </c>
      <c r="E167" s="8" t="n">
        <v>10100</v>
      </c>
      <c r="F167" s="7" t="s">
        <v>66</v>
      </c>
      <c r="G167" s="0" t="str">
        <f aca="false">IF(B167="","",IFERROR(VLOOKUP(B167,Справочники!$A$4:$C$18,2,FALSE()),"нет в справочнике"))</f>
        <v>Расход</v>
      </c>
      <c r="H167" s="13" t="n">
        <f aca="false">IF(A167="","",DATE(YEAR(A167),MONTH(A167),1))</f>
        <v>45809</v>
      </c>
    </row>
    <row r="168" customFormat="false" ht="15" hidden="false" customHeight="false" outlineLevel="0" collapsed="false">
      <c r="A168" s="12" t="n">
        <v>45816</v>
      </c>
      <c r="B168" s="7" t="s">
        <v>23</v>
      </c>
      <c r="C168" s="7" t="s">
        <v>24</v>
      </c>
      <c r="D168" s="7" t="s">
        <v>27</v>
      </c>
      <c r="E168" s="8" t="n">
        <v>111100</v>
      </c>
      <c r="F168" s="7" t="s">
        <v>113</v>
      </c>
      <c r="G168" s="0" t="str">
        <f aca="false">IF(B168="","",IFERROR(VLOOKUP(B168,Справочники!$A$4:$C$18,2,FALSE()),"нет в справочнике"))</f>
        <v>Доход</v>
      </c>
      <c r="H168" s="13" t="n">
        <f aca="false">IF(A168="","",DATE(YEAR(A168),MONTH(A168),1))</f>
        <v>45809</v>
      </c>
    </row>
    <row r="169" customFormat="false" ht="15" hidden="false" customHeight="false" outlineLevel="0" collapsed="false">
      <c r="A169" s="12" t="n">
        <v>45817</v>
      </c>
      <c r="B169" s="7" t="s">
        <v>26</v>
      </c>
      <c r="C169" s="7" t="s">
        <v>26</v>
      </c>
      <c r="D169" s="7" t="s">
        <v>25</v>
      </c>
      <c r="E169" s="8" t="n">
        <v>12000</v>
      </c>
      <c r="F169" s="7" t="s">
        <v>49</v>
      </c>
      <c r="G169" s="0" t="str">
        <f aca="false">IF(B169="","",IFERROR(VLOOKUP(B169,Справочники!$A$4:$C$18,2,FALSE()),"нет в справочнике"))</f>
        <v>Доход</v>
      </c>
      <c r="H169" s="13" t="n">
        <f aca="false">IF(A169="","",DATE(YEAR(A169),MONTH(A169),1))</f>
        <v>45809</v>
      </c>
    </row>
    <row r="170" customFormat="false" ht="15" hidden="false" customHeight="false" outlineLevel="0" collapsed="false">
      <c r="A170" s="12" t="n">
        <v>45818</v>
      </c>
      <c r="B170" s="7" t="s">
        <v>18</v>
      </c>
      <c r="C170" s="7" t="s">
        <v>21</v>
      </c>
      <c r="D170" s="7" t="s">
        <v>22</v>
      </c>
      <c r="E170" s="8" t="n">
        <v>166900</v>
      </c>
      <c r="F170" s="7" t="s">
        <v>114</v>
      </c>
      <c r="G170" s="0" t="str">
        <f aca="false">IF(B170="","",IFERROR(VLOOKUP(B170,Справочники!$A$4:$C$18,2,FALSE()),"нет в справочнике"))</f>
        <v>Доход</v>
      </c>
      <c r="H170" s="13" t="n">
        <f aca="false">IF(A170="","",DATE(YEAR(A170),MONTH(A170),1))</f>
        <v>45809</v>
      </c>
    </row>
    <row r="171" customFormat="false" ht="15" hidden="false" customHeight="false" outlineLevel="0" collapsed="false">
      <c r="A171" s="12" t="n">
        <v>45818</v>
      </c>
      <c r="B171" s="7" t="s">
        <v>26</v>
      </c>
      <c r="C171" s="7" t="s">
        <v>26</v>
      </c>
      <c r="D171" s="7" t="s">
        <v>27</v>
      </c>
      <c r="E171" s="8" t="n">
        <v>18000</v>
      </c>
      <c r="F171" s="7" t="s">
        <v>49</v>
      </c>
      <c r="G171" s="0" t="str">
        <f aca="false">IF(B171="","",IFERROR(VLOOKUP(B171,Справочники!$A$4:$C$18,2,FALSE()),"нет в справочнике"))</f>
        <v>Доход</v>
      </c>
      <c r="H171" s="13" t="n">
        <f aca="false">IF(A171="","",DATE(YEAR(A171),MONTH(A171),1))</f>
        <v>45809</v>
      </c>
    </row>
    <row r="172" customFormat="false" ht="15" hidden="false" customHeight="false" outlineLevel="0" collapsed="false">
      <c r="A172" s="12" t="n">
        <v>45818</v>
      </c>
      <c r="B172" s="7" t="s">
        <v>36</v>
      </c>
      <c r="C172" s="7" t="s">
        <v>29</v>
      </c>
      <c r="D172" s="7" t="s">
        <v>22</v>
      </c>
      <c r="E172" s="8" t="n">
        <v>210000</v>
      </c>
      <c r="F172" s="7" t="s">
        <v>57</v>
      </c>
      <c r="G172" s="0" t="str">
        <f aca="false">IF(B172="","",IFERROR(VLOOKUP(B172,Справочники!$A$4:$C$18,2,FALSE()),"нет в справочнике"))</f>
        <v>Расход</v>
      </c>
      <c r="H172" s="13" t="n">
        <f aca="false">IF(A172="","",DATE(YEAR(A172),MONTH(A172),1))</f>
        <v>45809</v>
      </c>
    </row>
    <row r="173" customFormat="false" ht="15" hidden="false" customHeight="false" outlineLevel="0" collapsed="false">
      <c r="A173" s="12" t="n">
        <v>45819</v>
      </c>
      <c r="B173" s="7" t="s">
        <v>18</v>
      </c>
      <c r="C173" s="7" t="s">
        <v>21</v>
      </c>
      <c r="D173" s="7" t="s">
        <v>22</v>
      </c>
      <c r="E173" s="8" t="n">
        <v>222000</v>
      </c>
      <c r="F173" s="7" t="s">
        <v>115</v>
      </c>
      <c r="G173" s="0" t="str">
        <f aca="false">IF(B173="","",IFERROR(VLOOKUP(B173,Справочники!$A$4:$C$18,2,FALSE()),"нет в справочнике"))</f>
        <v>Доход</v>
      </c>
      <c r="H173" s="13" t="n">
        <f aca="false">IF(A173="","",DATE(YEAR(A173),MONTH(A173),1))</f>
        <v>45809</v>
      </c>
    </row>
    <row r="174" customFormat="false" ht="15" hidden="false" customHeight="false" outlineLevel="0" collapsed="false">
      <c r="A174" s="12" t="n">
        <v>45819</v>
      </c>
      <c r="B174" s="7" t="s">
        <v>33</v>
      </c>
      <c r="C174" s="7" t="s">
        <v>21</v>
      </c>
      <c r="D174" s="7" t="s">
        <v>22</v>
      </c>
      <c r="E174" s="8" t="n">
        <v>63400</v>
      </c>
      <c r="F174" s="7" t="s">
        <v>59</v>
      </c>
      <c r="G174" s="0" t="str">
        <f aca="false">IF(B174="","",IFERROR(VLOOKUP(B174,Справочники!$A$4:$C$18,2,FALSE()),"нет в справочнике"))</f>
        <v>Расход</v>
      </c>
      <c r="H174" s="13" t="n">
        <f aca="false">IF(A174="","",DATE(YEAR(A174),MONTH(A174),1))</f>
        <v>45809</v>
      </c>
    </row>
    <row r="175" customFormat="false" ht="15" hidden="false" customHeight="false" outlineLevel="0" collapsed="false">
      <c r="A175" s="12" t="n">
        <v>45820</v>
      </c>
      <c r="B175" s="7" t="s">
        <v>28</v>
      </c>
      <c r="C175" s="7" t="s">
        <v>24</v>
      </c>
      <c r="D175" s="7" t="s">
        <v>22</v>
      </c>
      <c r="E175" s="8" t="n">
        <v>13100</v>
      </c>
      <c r="F175" s="7" t="s">
        <v>61</v>
      </c>
      <c r="G175" s="0" t="str">
        <f aca="false">IF(B175="","",IFERROR(VLOOKUP(B175,Справочники!$A$4:$C$18,2,FALSE()),"нет в справочнике"))</f>
        <v>Доход</v>
      </c>
      <c r="H175" s="13" t="n">
        <f aca="false">IF(A175="","",DATE(YEAR(A175),MONTH(A175),1))</f>
        <v>45809</v>
      </c>
    </row>
    <row r="176" customFormat="false" ht="15" hidden="false" customHeight="false" outlineLevel="0" collapsed="false">
      <c r="A176" s="12" t="n">
        <v>45821</v>
      </c>
      <c r="B176" s="7" t="s">
        <v>31</v>
      </c>
      <c r="C176" s="7" t="s">
        <v>21</v>
      </c>
      <c r="D176" s="7" t="s">
        <v>22</v>
      </c>
      <c r="E176" s="8" t="n">
        <v>139200</v>
      </c>
      <c r="F176" s="7" t="s">
        <v>56</v>
      </c>
      <c r="G176" s="0" t="str">
        <f aca="false">IF(B176="","",IFERROR(VLOOKUP(B176,Справочники!$A$4:$C$18,2,FALSE()),"нет в справочнике"))</f>
        <v>Расход</v>
      </c>
      <c r="H176" s="13" t="n">
        <f aca="false">IF(A176="","",DATE(YEAR(A176),MONTH(A176),1))</f>
        <v>45809</v>
      </c>
    </row>
    <row r="177" customFormat="false" ht="15" hidden="false" customHeight="false" outlineLevel="0" collapsed="false">
      <c r="A177" s="12" t="n">
        <v>45823</v>
      </c>
      <c r="B177" s="7" t="s">
        <v>38</v>
      </c>
      <c r="C177" s="7" t="s">
        <v>29</v>
      </c>
      <c r="D177" s="7" t="s">
        <v>22</v>
      </c>
      <c r="E177" s="8" t="n">
        <v>14600</v>
      </c>
      <c r="F177" s="7" t="s">
        <v>63</v>
      </c>
      <c r="G177" s="0" t="str">
        <f aca="false">IF(B177="","",IFERROR(VLOOKUP(B177,Справочники!$A$4:$C$18,2,FALSE()),"нет в справочнике"))</f>
        <v>Расход</v>
      </c>
      <c r="H177" s="13" t="n">
        <f aca="false">IF(A177="","",DATE(YEAR(A177),MONTH(A177),1))</f>
        <v>45809</v>
      </c>
    </row>
    <row r="178" customFormat="false" ht="15" hidden="false" customHeight="false" outlineLevel="0" collapsed="false">
      <c r="A178" s="12" t="n">
        <v>45824</v>
      </c>
      <c r="B178" s="7" t="s">
        <v>26</v>
      </c>
      <c r="C178" s="7" t="s">
        <v>26</v>
      </c>
      <c r="D178" s="7" t="s">
        <v>27</v>
      </c>
      <c r="E178" s="8" t="n">
        <v>10800</v>
      </c>
      <c r="F178" s="7" t="s">
        <v>49</v>
      </c>
      <c r="G178" s="0" t="str">
        <f aca="false">IF(B178="","",IFERROR(VLOOKUP(B178,Справочники!$A$4:$C$18,2,FALSE()),"нет в справочнике"))</f>
        <v>Доход</v>
      </c>
      <c r="H178" s="13" t="n">
        <f aca="false">IF(A178="","",DATE(YEAR(A178),MONTH(A178),1))</f>
        <v>45809</v>
      </c>
    </row>
    <row r="179" customFormat="false" ht="15" hidden="false" customHeight="false" outlineLevel="0" collapsed="false">
      <c r="A179" s="12" t="n">
        <v>45825</v>
      </c>
      <c r="B179" s="7" t="s">
        <v>28</v>
      </c>
      <c r="C179" s="7" t="s">
        <v>24</v>
      </c>
      <c r="D179" s="7" t="s">
        <v>22</v>
      </c>
      <c r="E179" s="8" t="n">
        <v>10200</v>
      </c>
      <c r="F179" s="7" t="s">
        <v>61</v>
      </c>
      <c r="G179" s="0" t="str">
        <f aca="false">IF(B179="","",IFERROR(VLOOKUP(B179,Справочники!$A$4:$C$18,2,FALSE()),"нет в справочнике"))</f>
        <v>Доход</v>
      </c>
      <c r="H179" s="13" t="n">
        <f aca="false">IF(A179="","",DATE(YEAR(A179),MONTH(A179),1))</f>
        <v>45809</v>
      </c>
    </row>
    <row r="180" customFormat="false" ht="15" hidden="false" customHeight="false" outlineLevel="0" collapsed="false">
      <c r="A180" s="12" t="n">
        <v>45827</v>
      </c>
      <c r="B180" s="7" t="s">
        <v>26</v>
      </c>
      <c r="C180" s="7" t="s">
        <v>26</v>
      </c>
      <c r="D180" s="7" t="s">
        <v>25</v>
      </c>
      <c r="E180" s="8" t="n">
        <v>21300</v>
      </c>
      <c r="F180" s="7" t="s">
        <v>49</v>
      </c>
      <c r="G180" s="0" t="str">
        <f aca="false">IF(B180="","",IFERROR(VLOOKUP(B180,Справочники!$A$4:$C$18,2,FALSE()),"нет в справочнике"))</f>
        <v>Доход</v>
      </c>
      <c r="H180" s="13" t="n">
        <f aca="false">IF(A180="","",DATE(YEAR(A180),MONTH(A180),1))</f>
        <v>45809</v>
      </c>
    </row>
    <row r="181" customFormat="false" ht="15" hidden="false" customHeight="false" outlineLevel="0" collapsed="false">
      <c r="A181" s="12" t="n">
        <v>45828</v>
      </c>
      <c r="B181" s="7" t="s">
        <v>18</v>
      </c>
      <c r="C181" s="7" t="s">
        <v>21</v>
      </c>
      <c r="D181" s="7" t="s">
        <v>22</v>
      </c>
      <c r="E181" s="8" t="n">
        <v>227900</v>
      </c>
      <c r="F181" s="7" t="s">
        <v>116</v>
      </c>
      <c r="G181" s="0" t="str">
        <f aca="false">IF(B181="","",IFERROR(VLOOKUP(B181,Справочники!$A$4:$C$18,2,FALSE()),"нет в справочнике"))</f>
        <v>Доход</v>
      </c>
      <c r="H181" s="13" t="n">
        <f aca="false">IF(A181="","",DATE(YEAR(A181),MONTH(A181),1))</f>
        <v>45809</v>
      </c>
    </row>
    <row r="182" customFormat="false" ht="15" hidden="false" customHeight="false" outlineLevel="0" collapsed="false">
      <c r="A182" s="12" t="n">
        <v>45828</v>
      </c>
      <c r="B182" s="7" t="s">
        <v>18</v>
      </c>
      <c r="C182" s="7" t="s">
        <v>21</v>
      </c>
      <c r="D182" s="7" t="s">
        <v>22</v>
      </c>
      <c r="E182" s="8" t="n">
        <v>133700</v>
      </c>
      <c r="F182" s="7" t="s">
        <v>94</v>
      </c>
      <c r="G182" s="0" t="str">
        <f aca="false">IF(B182="","",IFERROR(VLOOKUP(B182,Справочники!$A$4:$C$18,2,FALSE()),"нет в справочнике"))</f>
        <v>Доход</v>
      </c>
      <c r="H182" s="13" t="n">
        <f aca="false">IF(A182="","",DATE(YEAR(A182),MONTH(A182),1))</f>
        <v>45809</v>
      </c>
    </row>
    <row r="183" customFormat="false" ht="15" hidden="false" customHeight="false" outlineLevel="0" collapsed="false">
      <c r="A183" s="12" t="n">
        <v>45828</v>
      </c>
      <c r="B183" s="7" t="s">
        <v>41</v>
      </c>
      <c r="C183" s="7" t="s">
        <v>29</v>
      </c>
      <c r="D183" s="7" t="s">
        <v>22</v>
      </c>
      <c r="E183" s="8" t="n">
        <v>12500</v>
      </c>
      <c r="F183" s="7" t="s">
        <v>67</v>
      </c>
      <c r="G183" s="0" t="str">
        <f aca="false">IF(B183="","",IFERROR(VLOOKUP(B183,Справочники!$A$4:$C$18,2,FALSE()),"нет в справочнике"))</f>
        <v>Расход</v>
      </c>
      <c r="H183" s="13" t="n">
        <f aca="false">IF(A183="","",DATE(YEAR(A183),MONTH(A183),1))</f>
        <v>45809</v>
      </c>
    </row>
    <row r="184" customFormat="false" ht="15" hidden="false" customHeight="false" outlineLevel="0" collapsed="false">
      <c r="A184" s="12" t="n">
        <v>45829</v>
      </c>
      <c r="B184" s="7" t="s">
        <v>23</v>
      </c>
      <c r="C184" s="7" t="s">
        <v>24</v>
      </c>
      <c r="D184" s="7" t="s">
        <v>22</v>
      </c>
      <c r="E184" s="8" t="n">
        <v>91100</v>
      </c>
      <c r="F184" s="7" t="s">
        <v>117</v>
      </c>
      <c r="G184" s="0" t="str">
        <f aca="false">IF(B184="","",IFERROR(VLOOKUP(B184,Справочники!$A$4:$C$18,2,FALSE()),"нет в справочнике"))</f>
        <v>Доход</v>
      </c>
      <c r="H184" s="13" t="n">
        <f aca="false">IF(A184="","",DATE(YEAR(A184),MONTH(A184),1))</f>
        <v>45809</v>
      </c>
    </row>
    <row r="185" customFormat="false" ht="15" hidden="false" customHeight="false" outlineLevel="0" collapsed="false">
      <c r="A185" s="12" t="n">
        <v>45830</v>
      </c>
      <c r="B185" s="7" t="s">
        <v>23</v>
      </c>
      <c r="C185" s="7" t="s">
        <v>24</v>
      </c>
      <c r="D185" s="7" t="s">
        <v>27</v>
      </c>
      <c r="E185" s="8" t="n">
        <v>78200</v>
      </c>
      <c r="F185" s="7" t="s">
        <v>118</v>
      </c>
      <c r="G185" s="0" t="str">
        <f aca="false">IF(B185="","",IFERROR(VLOOKUP(B185,Справочники!$A$4:$C$18,2,FALSE()),"нет в справочнике"))</f>
        <v>Доход</v>
      </c>
      <c r="H185" s="13" t="n">
        <f aca="false">IF(A185="","",DATE(YEAR(A185),MONTH(A185),1))</f>
        <v>45809</v>
      </c>
    </row>
    <row r="186" customFormat="false" ht="15" hidden="false" customHeight="false" outlineLevel="0" collapsed="false">
      <c r="A186" s="12" t="n">
        <v>45830</v>
      </c>
      <c r="B186" s="7" t="s">
        <v>28</v>
      </c>
      <c r="C186" s="7" t="s">
        <v>24</v>
      </c>
      <c r="D186" s="7" t="s">
        <v>22</v>
      </c>
      <c r="E186" s="8" t="n">
        <v>13500</v>
      </c>
      <c r="F186" s="7" t="s">
        <v>61</v>
      </c>
      <c r="G186" s="0" t="str">
        <f aca="false">IF(B186="","",IFERROR(VLOOKUP(B186,Справочники!$A$4:$C$18,2,FALSE()),"нет в справочнике"))</f>
        <v>Доход</v>
      </c>
      <c r="H186" s="13" t="n">
        <f aca="false">IF(A186="","",DATE(YEAR(A186),MONTH(A186),1))</f>
        <v>45809</v>
      </c>
    </row>
    <row r="187" customFormat="false" ht="15" hidden="false" customHeight="false" outlineLevel="0" collapsed="false">
      <c r="A187" s="12" t="n">
        <v>45830</v>
      </c>
      <c r="B187" s="7" t="s">
        <v>31</v>
      </c>
      <c r="C187" s="7" t="s">
        <v>26</v>
      </c>
      <c r="D187" s="7" t="s">
        <v>22</v>
      </c>
      <c r="E187" s="8" t="n">
        <v>181900</v>
      </c>
      <c r="F187" s="7" t="s">
        <v>56</v>
      </c>
      <c r="G187" s="0" t="str">
        <f aca="false">IF(B187="","",IFERROR(VLOOKUP(B187,Справочники!$A$4:$C$18,2,FALSE()),"нет в справочнике"))</f>
        <v>Расход</v>
      </c>
      <c r="H187" s="13" t="n">
        <f aca="false">IF(A187="","",DATE(YEAR(A187),MONTH(A187),1))</f>
        <v>45809</v>
      </c>
    </row>
    <row r="188" customFormat="false" ht="15" hidden="false" customHeight="false" outlineLevel="0" collapsed="false">
      <c r="A188" s="12" t="n">
        <v>45831</v>
      </c>
      <c r="B188" s="7" t="s">
        <v>33</v>
      </c>
      <c r="C188" s="7" t="s">
        <v>24</v>
      </c>
      <c r="D188" s="7" t="s">
        <v>22</v>
      </c>
      <c r="E188" s="8" t="n">
        <v>63400</v>
      </c>
      <c r="F188" s="7" t="s">
        <v>59</v>
      </c>
      <c r="G188" s="0" t="str">
        <f aca="false">IF(B188="","",IFERROR(VLOOKUP(B188,Справочники!$A$4:$C$18,2,FALSE()),"нет в справочнике"))</f>
        <v>Расход</v>
      </c>
      <c r="H188" s="13" t="n">
        <f aca="false">IF(A188="","",DATE(YEAR(A188),MONTH(A188),1))</f>
        <v>45809</v>
      </c>
    </row>
    <row r="189" customFormat="false" ht="15" hidden="false" customHeight="false" outlineLevel="0" collapsed="false">
      <c r="A189" s="12" t="n">
        <v>45833</v>
      </c>
      <c r="B189" s="7" t="s">
        <v>28</v>
      </c>
      <c r="C189" s="7" t="s">
        <v>21</v>
      </c>
      <c r="D189" s="7" t="s">
        <v>22</v>
      </c>
      <c r="E189" s="8" t="n">
        <v>16200</v>
      </c>
      <c r="F189" s="7" t="s">
        <v>61</v>
      </c>
      <c r="G189" s="0" t="str">
        <f aca="false">IF(B189="","",IFERROR(VLOOKUP(B189,Справочники!$A$4:$C$18,2,FALSE()),"нет в справочнике"))</f>
        <v>Доход</v>
      </c>
      <c r="H189" s="13" t="n">
        <f aca="false">IF(A189="","",DATE(YEAR(A189),MONTH(A189),1))</f>
        <v>45809</v>
      </c>
    </row>
    <row r="190" customFormat="false" ht="15" hidden="false" customHeight="false" outlineLevel="0" collapsed="false">
      <c r="A190" s="12" t="n">
        <v>45835</v>
      </c>
      <c r="B190" s="7" t="s">
        <v>35</v>
      </c>
      <c r="C190" s="7" t="s">
        <v>24</v>
      </c>
      <c r="D190" s="7" t="s">
        <v>27</v>
      </c>
      <c r="E190" s="8" t="n">
        <v>33300</v>
      </c>
      <c r="F190" s="7" t="s">
        <v>55</v>
      </c>
      <c r="G190" s="0" t="str">
        <f aca="false">IF(B190="","",IFERROR(VLOOKUP(B190,Справочники!$A$4:$C$18,2,FALSE()),"нет в справочнике"))</f>
        <v>Расход</v>
      </c>
      <c r="H190" s="13" t="n">
        <f aca="false">IF(A190="","",DATE(YEAR(A190),MONTH(A190),1))</f>
        <v>45809</v>
      </c>
    </row>
    <row r="191" customFormat="false" ht="15" hidden="false" customHeight="false" outlineLevel="0" collapsed="false">
      <c r="A191" s="12" t="n">
        <v>45836</v>
      </c>
      <c r="B191" s="7" t="s">
        <v>23</v>
      </c>
      <c r="C191" s="7" t="s">
        <v>24</v>
      </c>
      <c r="D191" s="7" t="s">
        <v>22</v>
      </c>
      <c r="E191" s="8" t="n">
        <v>98400</v>
      </c>
      <c r="F191" s="7" t="s">
        <v>119</v>
      </c>
      <c r="G191" s="0" t="str">
        <f aca="false">IF(B191="","",IFERROR(VLOOKUP(B191,Справочники!$A$4:$C$18,2,FALSE()),"нет в справочнике"))</f>
        <v>Доход</v>
      </c>
      <c r="H191" s="13" t="n">
        <f aca="false">IF(A191="","",DATE(YEAR(A191),MONTH(A191),1))</f>
        <v>45809</v>
      </c>
    </row>
    <row r="192" customFormat="false" ht="15" hidden="false" customHeight="false" outlineLevel="0" collapsed="false">
      <c r="A192" s="12" t="n">
        <v>45836</v>
      </c>
      <c r="B192" s="7" t="s">
        <v>34</v>
      </c>
      <c r="C192" s="7" t="s">
        <v>21</v>
      </c>
      <c r="D192" s="7" t="s">
        <v>22</v>
      </c>
      <c r="E192" s="8" t="n">
        <v>178600</v>
      </c>
      <c r="F192" s="7" t="s">
        <v>68</v>
      </c>
      <c r="G192" s="0" t="str">
        <f aca="false">IF(B192="","",IFERROR(VLOOKUP(B192,Справочники!$A$4:$C$18,2,FALSE()),"нет в справочнике"))</f>
        <v>Расход</v>
      </c>
      <c r="H192" s="13" t="n">
        <f aca="false">IF(A192="","",DATE(YEAR(A192),MONTH(A192),1))</f>
        <v>45809</v>
      </c>
    </row>
    <row r="193" customFormat="false" ht="15" hidden="false" customHeight="false" outlineLevel="0" collapsed="false">
      <c r="A193" s="12" t="n">
        <v>45837</v>
      </c>
      <c r="B193" s="7" t="s">
        <v>31</v>
      </c>
      <c r="C193" s="7" t="s">
        <v>24</v>
      </c>
      <c r="D193" s="7" t="s">
        <v>22</v>
      </c>
      <c r="E193" s="8" t="n">
        <v>152200</v>
      </c>
      <c r="F193" s="7" t="s">
        <v>56</v>
      </c>
      <c r="G193" s="0" t="str">
        <f aca="false">IF(B193="","",IFERROR(VLOOKUP(B193,Справочники!$A$4:$C$18,2,FALSE()),"нет в справочнике"))</f>
        <v>Расход</v>
      </c>
      <c r="H193" s="13" t="n">
        <f aca="false">IF(A193="","",DATE(YEAR(A193),MONTH(A193),1))</f>
        <v>45809</v>
      </c>
    </row>
    <row r="194" customFormat="false" ht="15" hidden="false" customHeight="false" outlineLevel="0" collapsed="false">
      <c r="A194" s="12" t="n">
        <v>45838</v>
      </c>
      <c r="B194" s="7" t="s">
        <v>18</v>
      </c>
      <c r="C194" s="7" t="s">
        <v>21</v>
      </c>
      <c r="D194" s="7" t="s">
        <v>22</v>
      </c>
      <c r="E194" s="8" t="n">
        <v>164300</v>
      </c>
      <c r="F194" s="7" t="s">
        <v>120</v>
      </c>
      <c r="G194" s="0" t="str">
        <f aca="false">IF(B194="","",IFERROR(VLOOKUP(B194,Справочники!$A$4:$C$18,2,FALSE()),"нет в справочнике"))</f>
        <v>Доход</v>
      </c>
      <c r="H194" s="13" t="n">
        <f aca="false">IF(A194="","",DATE(YEAR(A194),MONTH(A194),1))</f>
        <v>45809</v>
      </c>
    </row>
    <row r="195" customFormat="false" ht="15" hidden="false" customHeight="false" outlineLevel="0" collapsed="false">
      <c r="A195" s="12" t="n">
        <v>45840</v>
      </c>
      <c r="B195" s="7" t="s">
        <v>23</v>
      </c>
      <c r="C195" s="7" t="s">
        <v>24</v>
      </c>
      <c r="D195" s="7" t="s">
        <v>27</v>
      </c>
      <c r="E195" s="8" t="n">
        <v>67300</v>
      </c>
      <c r="F195" s="7" t="s">
        <v>121</v>
      </c>
      <c r="G195" s="0" t="str">
        <f aca="false">IF(B195="","",IFERROR(VLOOKUP(B195,Справочники!$A$4:$C$18,2,FALSE()),"нет в справочнике"))</f>
        <v>Доход</v>
      </c>
      <c r="H195" s="13" t="n">
        <f aca="false">IF(A195="","",DATE(YEAR(A195),MONTH(A195),1))</f>
        <v>45839</v>
      </c>
    </row>
    <row r="196" customFormat="false" ht="15" hidden="false" customHeight="false" outlineLevel="0" collapsed="false">
      <c r="A196" s="12" t="n">
        <v>45841</v>
      </c>
      <c r="B196" s="7" t="s">
        <v>26</v>
      </c>
      <c r="C196" s="7" t="s">
        <v>26</v>
      </c>
      <c r="D196" s="7" t="s">
        <v>27</v>
      </c>
      <c r="E196" s="8" t="n">
        <v>14200</v>
      </c>
      <c r="F196" s="7" t="s">
        <v>49</v>
      </c>
      <c r="G196" s="0" t="str">
        <f aca="false">IF(B196="","",IFERROR(VLOOKUP(B196,Справочники!$A$4:$C$18,2,FALSE()),"нет в справочнике"))</f>
        <v>Доход</v>
      </c>
      <c r="H196" s="13" t="n">
        <f aca="false">IF(A196="","",DATE(YEAR(A196),MONTH(A196),1))</f>
        <v>45839</v>
      </c>
    </row>
    <row r="197" customFormat="false" ht="15" hidden="false" customHeight="false" outlineLevel="0" collapsed="false">
      <c r="A197" s="12" t="n">
        <v>45842</v>
      </c>
      <c r="B197" s="7" t="s">
        <v>31</v>
      </c>
      <c r="C197" s="7" t="s">
        <v>24</v>
      </c>
      <c r="D197" s="7" t="s">
        <v>22</v>
      </c>
      <c r="E197" s="8" t="n">
        <v>107700</v>
      </c>
      <c r="F197" s="7" t="s">
        <v>56</v>
      </c>
      <c r="G197" s="0" t="str">
        <f aca="false">IF(B197="","",IFERROR(VLOOKUP(B197,Справочники!$A$4:$C$18,2,FALSE()),"нет в справочнике"))</f>
        <v>Расход</v>
      </c>
      <c r="H197" s="13" t="n">
        <f aca="false">IF(A197="","",DATE(YEAR(A197),MONTH(A197),1))</f>
        <v>45839</v>
      </c>
    </row>
    <row r="198" customFormat="false" ht="15" hidden="false" customHeight="false" outlineLevel="0" collapsed="false">
      <c r="A198" s="12" t="n">
        <v>45843</v>
      </c>
      <c r="B198" s="7" t="s">
        <v>26</v>
      </c>
      <c r="C198" s="7" t="s">
        <v>26</v>
      </c>
      <c r="D198" s="7" t="s">
        <v>25</v>
      </c>
      <c r="E198" s="8" t="n">
        <v>15800</v>
      </c>
      <c r="F198" s="7" t="s">
        <v>49</v>
      </c>
      <c r="G198" s="0" t="str">
        <f aca="false">IF(B198="","",IFERROR(VLOOKUP(B198,Справочники!$A$4:$C$18,2,FALSE()),"нет в справочнике"))</f>
        <v>Доход</v>
      </c>
      <c r="H198" s="13" t="n">
        <f aca="false">IF(A198="","",DATE(YEAR(A198),MONTH(A198),1))</f>
        <v>45839</v>
      </c>
    </row>
    <row r="199" customFormat="false" ht="15" hidden="false" customHeight="false" outlineLevel="0" collapsed="false">
      <c r="A199" s="12" t="n">
        <v>45843</v>
      </c>
      <c r="B199" s="7" t="s">
        <v>31</v>
      </c>
      <c r="C199" s="7" t="s">
        <v>24</v>
      </c>
      <c r="D199" s="7" t="s">
        <v>22</v>
      </c>
      <c r="E199" s="8" t="n">
        <v>121900</v>
      </c>
      <c r="F199" s="7" t="s">
        <v>56</v>
      </c>
      <c r="G199" s="0" t="str">
        <f aca="false">IF(B199="","",IFERROR(VLOOKUP(B199,Справочники!$A$4:$C$18,2,FALSE()),"нет в справочнике"))</f>
        <v>Расход</v>
      </c>
      <c r="H199" s="13" t="n">
        <f aca="false">IF(A199="","",DATE(YEAR(A199),MONTH(A199),1))</f>
        <v>45839</v>
      </c>
    </row>
    <row r="200" customFormat="false" ht="15" hidden="false" customHeight="false" outlineLevel="0" collapsed="false">
      <c r="A200" s="12" t="n">
        <v>45843</v>
      </c>
      <c r="B200" s="7" t="s">
        <v>33</v>
      </c>
      <c r="C200" s="7" t="s">
        <v>21</v>
      </c>
      <c r="D200" s="7" t="s">
        <v>22</v>
      </c>
      <c r="E200" s="8" t="n">
        <v>44200</v>
      </c>
      <c r="F200" s="7" t="s">
        <v>59</v>
      </c>
      <c r="G200" s="0" t="str">
        <f aca="false">IF(B200="","",IFERROR(VLOOKUP(B200,Справочники!$A$4:$C$18,2,FALSE()),"нет в справочнике"))</f>
        <v>Расход</v>
      </c>
      <c r="H200" s="13" t="n">
        <f aca="false">IF(A200="","",DATE(YEAR(A200),MONTH(A200),1))</f>
        <v>45839</v>
      </c>
    </row>
    <row r="201" customFormat="false" ht="15" hidden="false" customHeight="false" outlineLevel="0" collapsed="false">
      <c r="A201" s="12" t="n">
        <v>45843</v>
      </c>
      <c r="B201" s="7" t="s">
        <v>37</v>
      </c>
      <c r="C201" s="7" t="s">
        <v>29</v>
      </c>
      <c r="D201" s="7" t="s">
        <v>22</v>
      </c>
      <c r="E201" s="8" t="n">
        <v>85000</v>
      </c>
      <c r="F201" s="7" t="s">
        <v>51</v>
      </c>
      <c r="G201" s="0" t="str">
        <f aca="false">IF(B201="","",IFERROR(VLOOKUP(B201,Справочники!$A$4:$C$18,2,FALSE()),"нет в справочнике"))</f>
        <v>Расход</v>
      </c>
      <c r="H201" s="13" t="n">
        <f aca="false">IF(A201="","",DATE(YEAR(A201),MONTH(A201),1))</f>
        <v>45839</v>
      </c>
    </row>
    <row r="202" customFormat="false" ht="15" hidden="false" customHeight="false" outlineLevel="0" collapsed="false">
      <c r="A202" s="12" t="n">
        <v>45844</v>
      </c>
      <c r="B202" s="7" t="s">
        <v>31</v>
      </c>
      <c r="C202" s="7" t="s">
        <v>21</v>
      </c>
      <c r="D202" s="7" t="s">
        <v>22</v>
      </c>
      <c r="E202" s="8" t="n">
        <v>133700</v>
      </c>
      <c r="F202" s="7" t="s">
        <v>56</v>
      </c>
      <c r="G202" s="0" t="str">
        <f aca="false">IF(B202="","",IFERROR(VLOOKUP(B202,Справочники!$A$4:$C$18,2,FALSE()),"нет в справочнике"))</f>
        <v>Расход</v>
      </c>
      <c r="H202" s="13" t="n">
        <f aca="false">IF(A202="","",DATE(YEAR(A202),MONTH(A202),1))</f>
        <v>45839</v>
      </c>
    </row>
    <row r="203" customFormat="false" ht="15" hidden="false" customHeight="false" outlineLevel="0" collapsed="false">
      <c r="A203" s="12" t="n">
        <v>45845</v>
      </c>
      <c r="B203" s="7" t="s">
        <v>18</v>
      </c>
      <c r="C203" s="7" t="s">
        <v>21</v>
      </c>
      <c r="D203" s="7" t="s">
        <v>22</v>
      </c>
      <c r="E203" s="8" t="n">
        <v>156400</v>
      </c>
      <c r="F203" s="7" t="s">
        <v>122</v>
      </c>
      <c r="G203" s="0" t="str">
        <f aca="false">IF(B203="","",IFERROR(VLOOKUP(B203,Справочники!$A$4:$C$18,2,FALSE()),"нет в справочнике"))</f>
        <v>Доход</v>
      </c>
      <c r="H203" s="13" t="n">
        <f aca="false">IF(A203="","",DATE(YEAR(A203),MONTH(A203),1))</f>
        <v>45839</v>
      </c>
    </row>
    <row r="204" customFormat="false" ht="15" hidden="false" customHeight="false" outlineLevel="0" collapsed="false">
      <c r="A204" s="12" t="n">
        <v>45846</v>
      </c>
      <c r="B204" s="7" t="s">
        <v>18</v>
      </c>
      <c r="C204" s="7" t="s">
        <v>21</v>
      </c>
      <c r="D204" s="7" t="s">
        <v>22</v>
      </c>
      <c r="E204" s="8" t="n">
        <v>133900</v>
      </c>
      <c r="F204" s="7" t="s">
        <v>123</v>
      </c>
      <c r="G204" s="0" t="str">
        <f aca="false">IF(B204="","",IFERROR(VLOOKUP(B204,Справочники!$A$4:$C$18,2,FALSE()),"нет в справочнике"))</f>
        <v>Доход</v>
      </c>
      <c r="H204" s="13" t="n">
        <f aca="false">IF(A204="","",DATE(YEAR(A204),MONTH(A204),1))</f>
        <v>45839</v>
      </c>
    </row>
    <row r="205" customFormat="false" ht="15" hidden="false" customHeight="false" outlineLevel="0" collapsed="false">
      <c r="A205" s="12" t="n">
        <v>45846</v>
      </c>
      <c r="B205" s="7" t="s">
        <v>26</v>
      </c>
      <c r="C205" s="7" t="s">
        <v>26</v>
      </c>
      <c r="D205" s="7" t="s">
        <v>27</v>
      </c>
      <c r="E205" s="8" t="n">
        <v>27000</v>
      </c>
      <c r="F205" s="7" t="s">
        <v>49</v>
      </c>
      <c r="G205" s="0" t="str">
        <f aca="false">IF(B205="","",IFERROR(VLOOKUP(B205,Справочники!$A$4:$C$18,2,FALSE()),"нет в справочнике"))</f>
        <v>Доход</v>
      </c>
      <c r="H205" s="13" t="n">
        <f aca="false">IF(A205="","",DATE(YEAR(A205),MONTH(A205),1))</f>
        <v>45839</v>
      </c>
    </row>
    <row r="206" customFormat="false" ht="15" hidden="false" customHeight="false" outlineLevel="0" collapsed="false">
      <c r="A206" s="12" t="n">
        <v>45846</v>
      </c>
      <c r="B206" s="7" t="s">
        <v>33</v>
      </c>
      <c r="C206" s="7" t="s">
        <v>24</v>
      </c>
      <c r="D206" s="7" t="s">
        <v>22</v>
      </c>
      <c r="E206" s="8" t="n">
        <v>37100</v>
      </c>
      <c r="F206" s="7" t="s">
        <v>59</v>
      </c>
      <c r="G206" s="0" t="str">
        <f aca="false">IF(B206="","",IFERROR(VLOOKUP(B206,Справочники!$A$4:$C$18,2,FALSE()),"нет в справочнике"))</f>
        <v>Расход</v>
      </c>
      <c r="H206" s="13" t="n">
        <f aca="false">IF(A206="","",DATE(YEAR(A206),MONTH(A206),1))</f>
        <v>45839</v>
      </c>
    </row>
    <row r="207" customFormat="false" ht="15" hidden="false" customHeight="false" outlineLevel="0" collapsed="false">
      <c r="A207" s="12" t="n">
        <v>45847</v>
      </c>
      <c r="B207" s="7" t="s">
        <v>35</v>
      </c>
      <c r="C207" s="7" t="s">
        <v>24</v>
      </c>
      <c r="D207" s="7" t="s">
        <v>27</v>
      </c>
      <c r="E207" s="8" t="n">
        <v>44700</v>
      </c>
      <c r="F207" s="7" t="s">
        <v>55</v>
      </c>
      <c r="G207" s="0" t="str">
        <f aca="false">IF(B207="","",IFERROR(VLOOKUP(B207,Справочники!$A$4:$C$18,2,FALSE()),"нет в справочнике"))</f>
        <v>Расход</v>
      </c>
      <c r="H207" s="13" t="n">
        <f aca="false">IF(A207="","",DATE(YEAR(A207),MONTH(A207),1))</f>
        <v>45839</v>
      </c>
    </row>
    <row r="208" customFormat="false" ht="15" hidden="false" customHeight="false" outlineLevel="0" collapsed="false">
      <c r="A208" s="12" t="n">
        <v>45848</v>
      </c>
      <c r="B208" s="7" t="s">
        <v>36</v>
      </c>
      <c r="C208" s="7" t="s">
        <v>29</v>
      </c>
      <c r="D208" s="7" t="s">
        <v>22</v>
      </c>
      <c r="E208" s="8" t="n">
        <v>210000</v>
      </c>
      <c r="F208" s="7" t="s">
        <v>57</v>
      </c>
      <c r="G208" s="0" t="str">
        <f aca="false">IF(B208="","",IFERROR(VLOOKUP(B208,Справочники!$A$4:$C$18,2,FALSE()),"нет в справочнике"))</f>
        <v>Расход</v>
      </c>
      <c r="H208" s="13" t="n">
        <f aca="false">IF(A208="","",DATE(YEAR(A208),MONTH(A208),1))</f>
        <v>45839</v>
      </c>
    </row>
    <row r="209" customFormat="false" ht="15" hidden="false" customHeight="false" outlineLevel="0" collapsed="false">
      <c r="A209" s="12" t="n">
        <v>45850</v>
      </c>
      <c r="B209" s="7" t="s">
        <v>28</v>
      </c>
      <c r="C209" s="7" t="s">
        <v>21</v>
      </c>
      <c r="D209" s="7" t="s">
        <v>22</v>
      </c>
      <c r="E209" s="8" t="n">
        <v>15000</v>
      </c>
      <c r="F209" s="7" t="s">
        <v>61</v>
      </c>
      <c r="G209" s="0" t="str">
        <f aca="false">IF(B209="","",IFERROR(VLOOKUP(B209,Справочники!$A$4:$C$18,2,FALSE()),"нет в справочнике"))</f>
        <v>Доход</v>
      </c>
      <c r="H209" s="13" t="n">
        <f aca="false">IF(A209="","",DATE(YEAR(A209),MONTH(A209),1))</f>
        <v>45839</v>
      </c>
    </row>
    <row r="210" customFormat="false" ht="15" hidden="false" customHeight="false" outlineLevel="0" collapsed="false">
      <c r="A210" s="12" t="n">
        <v>45853</v>
      </c>
      <c r="B210" s="7" t="s">
        <v>38</v>
      </c>
      <c r="C210" s="7" t="s">
        <v>29</v>
      </c>
      <c r="D210" s="7" t="s">
        <v>22</v>
      </c>
      <c r="E210" s="8" t="n">
        <v>17400</v>
      </c>
      <c r="F210" s="7" t="s">
        <v>63</v>
      </c>
      <c r="G210" s="0" t="str">
        <f aca="false">IF(B210="","",IFERROR(VLOOKUP(B210,Справочники!$A$4:$C$18,2,FALSE()),"нет в справочнике"))</f>
        <v>Расход</v>
      </c>
      <c r="H210" s="13" t="n">
        <f aca="false">IF(A210="","",DATE(YEAR(A210),MONTH(A210),1))</f>
        <v>45839</v>
      </c>
    </row>
    <row r="211" customFormat="false" ht="15" hidden="false" customHeight="false" outlineLevel="0" collapsed="false">
      <c r="A211" s="12" t="n">
        <v>45854</v>
      </c>
      <c r="B211" s="7" t="s">
        <v>18</v>
      </c>
      <c r="C211" s="7" t="s">
        <v>21</v>
      </c>
      <c r="D211" s="7" t="s">
        <v>22</v>
      </c>
      <c r="E211" s="8" t="n">
        <v>157700</v>
      </c>
      <c r="F211" s="7" t="s">
        <v>124</v>
      </c>
      <c r="G211" s="0" t="str">
        <f aca="false">IF(B211="","",IFERROR(VLOOKUP(B211,Справочники!$A$4:$C$18,2,FALSE()),"нет в справочнике"))</f>
        <v>Доход</v>
      </c>
      <c r="H211" s="13" t="n">
        <f aca="false">IF(A211="","",DATE(YEAR(A211),MONTH(A211),1))</f>
        <v>45839</v>
      </c>
    </row>
    <row r="212" customFormat="false" ht="15" hidden="false" customHeight="false" outlineLevel="0" collapsed="false">
      <c r="A212" s="12" t="n">
        <v>45854</v>
      </c>
      <c r="B212" s="7" t="s">
        <v>23</v>
      </c>
      <c r="C212" s="7" t="s">
        <v>24</v>
      </c>
      <c r="D212" s="7" t="s">
        <v>27</v>
      </c>
      <c r="E212" s="8" t="n">
        <v>71500</v>
      </c>
      <c r="F212" s="7" t="s">
        <v>125</v>
      </c>
      <c r="G212" s="0" t="str">
        <f aca="false">IF(B212="","",IFERROR(VLOOKUP(B212,Справочники!$A$4:$C$18,2,FALSE()),"нет в справочнике"))</f>
        <v>Доход</v>
      </c>
      <c r="H212" s="13" t="n">
        <f aca="false">IF(A212="","",DATE(YEAR(A212),MONTH(A212),1))</f>
        <v>45839</v>
      </c>
    </row>
    <row r="213" customFormat="false" ht="15" hidden="false" customHeight="false" outlineLevel="0" collapsed="false">
      <c r="A213" s="12" t="n">
        <v>45855</v>
      </c>
      <c r="B213" s="7" t="s">
        <v>18</v>
      </c>
      <c r="C213" s="7" t="s">
        <v>21</v>
      </c>
      <c r="D213" s="7" t="s">
        <v>22</v>
      </c>
      <c r="E213" s="8" t="n">
        <v>214000</v>
      </c>
      <c r="F213" s="7" t="s">
        <v>126</v>
      </c>
      <c r="G213" s="0" t="str">
        <f aca="false">IF(B213="","",IFERROR(VLOOKUP(B213,Справочники!$A$4:$C$18,2,FALSE()),"нет в справочнике"))</f>
        <v>Доход</v>
      </c>
      <c r="H213" s="13" t="n">
        <f aca="false">IF(A213="","",DATE(YEAR(A213),MONTH(A213),1))</f>
        <v>45839</v>
      </c>
    </row>
    <row r="214" customFormat="false" ht="15" hidden="false" customHeight="false" outlineLevel="0" collapsed="false">
      <c r="A214" s="12" t="n">
        <v>45855</v>
      </c>
      <c r="B214" s="7" t="s">
        <v>23</v>
      </c>
      <c r="C214" s="7" t="s">
        <v>24</v>
      </c>
      <c r="D214" s="7" t="s">
        <v>22</v>
      </c>
      <c r="E214" s="8" t="n">
        <v>84300</v>
      </c>
      <c r="F214" s="7" t="s">
        <v>127</v>
      </c>
      <c r="G214" s="0" t="str">
        <f aca="false">IF(B214="","",IFERROR(VLOOKUP(B214,Справочники!$A$4:$C$18,2,FALSE()),"нет в справочнике"))</f>
        <v>Доход</v>
      </c>
      <c r="H214" s="13" t="n">
        <f aca="false">IF(A214="","",DATE(YEAR(A214),MONTH(A214),1))</f>
        <v>45839</v>
      </c>
    </row>
    <row r="215" customFormat="false" ht="15" hidden="false" customHeight="false" outlineLevel="0" collapsed="false">
      <c r="A215" s="12" t="n">
        <v>45855</v>
      </c>
      <c r="B215" s="7" t="s">
        <v>28</v>
      </c>
      <c r="C215" s="7" t="s">
        <v>24</v>
      </c>
      <c r="D215" s="7" t="s">
        <v>22</v>
      </c>
      <c r="E215" s="8" t="n">
        <v>10100</v>
      </c>
      <c r="F215" s="7" t="s">
        <v>61</v>
      </c>
      <c r="G215" s="0" t="str">
        <f aca="false">IF(B215="","",IFERROR(VLOOKUP(B215,Справочники!$A$4:$C$18,2,FALSE()),"нет в справочнике"))</f>
        <v>Доход</v>
      </c>
      <c r="H215" s="13" t="n">
        <f aca="false">IF(A215="","",DATE(YEAR(A215),MONTH(A215),1))</f>
        <v>45839</v>
      </c>
    </row>
    <row r="216" customFormat="false" ht="15" hidden="false" customHeight="false" outlineLevel="0" collapsed="false">
      <c r="A216" s="12" t="n">
        <v>45856</v>
      </c>
      <c r="B216" s="7" t="s">
        <v>23</v>
      </c>
      <c r="C216" s="7" t="s">
        <v>24</v>
      </c>
      <c r="D216" s="7" t="s">
        <v>22</v>
      </c>
      <c r="E216" s="8" t="n">
        <v>103000</v>
      </c>
      <c r="F216" s="7" t="s">
        <v>128</v>
      </c>
      <c r="G216" s="0" t="str">
        <f aca="false">IF(B216="","",IFERROR(VLOOKUP(B216,Справочники!$A$4:$C$18,2,FALSE()),"нет в справочнике"))</f>
        <v>Доход</v>
      </c>
      <c r="H216" s="13" t="n">
        <f aca="false">IF(A216="","",DATE(YEAR(A216),MONTH(A216),1))</f>
        <v>45839</v>
      </c>
    </row>
    <row r="217" customFormat="false" ht="15" hidden="false" customHeight="false" outlineLevel="0" collapsed="false">
      <c r="A217" s="12" t="n">
        <v>45856</v>
      </c>
      <c r="B217" s="7" t="s">
        <v>26</v>
      </c>
      <c r="C217" s="7" t="s">
        <v>26</v>
      </c>
      <c r="D217" s="7" t="s">
        <v>27</v>
      </c>
      <c r="E217" s="8" t="n">
        <v>9300</v>
      </c>
      <c r="F217" s="7" t="s">
        <v>49</v>
      </c>
      <c r="G217" s="0" t="str">
        <f aca="false">IF(B217="","",IFERROR(VLOOKUP(B217,Справочники!$A$4:$C$18,2,FALSE()),"нет в справочнике"))</f>
        <v>Доход</v>
      </c>
      <c r="H217" s="13" t="n">
        <f aca="false">IF(A217="","",DATE(YEAR(A217),MONTH(A217),1))</f>
        <v>45839</v>
      </c>
    </row>
    <row r="218" customFormat="false" ht="15" hidden="false" customHeight="false" outlineLevel="0" collapsed="false">
      <c r="A218" s="12" t="n">
        <v>45858</v>
      </c>
      <c r="B218" s="7" t="s">
        <v>41</v>
      </c>
      <c r="C218" s="7" t="s">
        <v>29</v>
      </c>
      <c r="D218" s="7" t="s">
        <v>22</v>
      </c>
      <c r="E218" s="8" t="n">
        <v>12500</v>
      </c>
      <c r="F218" s="7" t="s">
        <v>67</v>
      </c>
      <c r="G218" s="0" t="str">
        <f aca="false">IF(B218="","",IFERROR(VLOOKUP(B218,Справочники!$A$4:$C$18,2,FALSE()),"нет в справочнике"))</f>
        <v>Расход</v>
      </c>
      <c r="H218" s="13" t="n">
        <f aca="false">IF(A218="","",DATE(YEAR(A218),MONTH(A218),1))</f>
        <v>45839</v>
      </c>
    </row>
    <row r="219" customFormat="false" ht="15" hidden="false" customHeight="false" outlineLevel="0" collapsed="false">
      <c r="A219" s="12" t="n">
        <v>45859</v>
      </c>
      <c r="B219" s="7" t="s">
        <v>28</v>
      </c>
      <c r="C219" s="7" t="s">
        <v>24</v>
      </c>
      <c r="D219" s="7" t="s">
        <v>22</v>
      </c>
      <c r="E219" s="8" t="n">
        <v>17100</v>
      </c>
      <c r="F219" s="7" t="s">
        <v>61</v>
      </c>
      <c r="G219" s="0" t="str">
        <f aca="false">IF(B219="","",IFERROR(VLOOKUP(B219,Справочники!$A$4:$C$18,2,FALSE()),"нет в справочнике"))</f>
        <v>Доход</v>
      </c>
      <c r="H219" s="13" t="n">
        <f aca="false">IF(A219="","",DATE(YEAR(A219),MONTH(A219),1))</f>
        <v>45839</v>
      </c>
    </row>
    <row r="220" customFormat="false" ht="15" hidden="false" customHeight="false" outlineLevel="0" collapsed="false">
      <c r="A220" s="12" t="n">
        <v>45861</v>
      </c>
      <c r="B220" s="7" t="s">
        <v>33</v>
      </c>
      <c r="C220" s="7" t="s">
        <v>21</v>
      </c>
      <c r="D220" s="7" t="s">
        <v>22</v>
      </c>
      <c r="E220" s="8" t="n">
        <v>39000</v>
      </c>
      <c r="F220" s="7" t="s">
        <v>59</v>
      </c>
      <c r="G220" s="0" t="str">
        <f aca="false">IF(B220="","",IFERROR(VLOOKUP(B220,Справочники!$A$4:$C$18,2,FALSE()),"нет в справочнике"))</f>
        <v>Расход</v>
      </c>
      <c r="H220" s="13" t="n">
        <f aca="false">IF(A220="","",DATE(YEAR(A220),MONTH(A220),1))</f>
        <v>45839</v>
      </c>
    </row>
    <row r="221" customFormat="false" ht="15" hidden="false" customHeight="false" outlineLevel="0" collapsed="false">
      <c r="A221" s="12" t="n">
        <v>45863</v>
      </c>
      <c r="B221" s="7" t="s">
        <v>28</v>
      </c>
      <c r="C221" s="7" t="s">
        <v>21</v>
      </c>
      <c r="D221" s="7" t="s">
        <v>22</v>
      </c>
      <c r="E221" s="8" t="n">
        <v>13000</v>
      </c>
      <c r="F221" s="7" t="s">
        <v>61</v>
      </c>
      <c r="G221" s="0" t="str">
        <f aca="false">IF(B221="","",IFERROR(VLOOKUP(B221,Справочники!$A$4:$C$18,2,FALSE()),"нет в справочнике"))</f>
        <v>Доход</v>
      </c>
      <c r="H221" s="13" t="n">
        <f aca="false">IF(A221="","",DATE(YEAR(A221),MONTH(A221),1))</f>
        <v>45839</v>
      </c>
    </row>
    <row r="222" customFormat="false" ht="15" hidden="false" customHeight="false" outlineLevel="0" collapsed="false">
      <c r="A222" s="12" t="n">
        <v>45863</v>
      </c>
      <c r="B222" s="7" t="s">
        <v>39</v>
      </c>
      <c r="C222" s="7" t="s">
        <v>29</v>
      </c>
      <c r="D222" s="7" t="s">
        <v>27</v>
      </c>
      <c r="E222" s="8" t="n">
        <v>40300</v>
      </c>
      <c r="F222" s="7" t="s">
        <v>53</v>
      </c>
      <c r="G222" s="0" t="str">
        <f aca="false">IF(B222="","",IFERROR(VLOOKUP(B222,Справочники!$A$4:$C$18,2,FALSE()),"нет в справочнике"))</f>
        <v>Расход</v>
      </c>
      <c r="H222" s="13" t="n">
        <f aca="false">IF(A222="","",DATE(YEAR(A222),MONTH(A222),1))</f>
        <v>45839</v>
      </c>
    </row>
    <row r="223" customFormat="false" ht="15" hidden="false" customHeight="false" outlineLevel="0" collapsed="false">
      <c r="A223" s="12" t="n">
        <v>45863</v>
      </c>
      <c r="B223" s="7" t="s">
        <v>42</v>
      </c>
      <c r="C223" s="7" t="s">
        <v>29</v>
      </c>
      <c r="D223" s="7" t="s">
        <v>22</v>
      </c>
      <c r="E223" s="8" t="n">
        <v>284400</v>
      </c>
      <c r="F223" s="7" t="s">
        <v>99</v>
      </c>
      <c r="G223" s="0" t="str">
        <f aca="false">IF(B223="","",IFERROR(VLOOKUP(B223,Справочники!$A$4:$C$18,2,FALSE()),"нет в справочнике"))</f>
        <v>Расход</v>
      </c>
      <c r="H223" s="13" t="n">
        <f aca="false">IF(A223="","",DATE(YEAR(A223),MONTH(A223),1))</f>
        <v>45839</v>
      </c>
    </row>
    <row r="224" customFormat="false" ht="15" hidden="false" customHeight="false" outlineLevel="0" collapsed="false">
      <c r="A224" s="12" t="n">
        <v>45864</v>
      </c>
      <c r="B224" s="7" t="s">
        <v>31</v>
      </c>
      <c r="C224" s="7" t="s">
        <v>21</v>
      </c>
      <c r="D224" s="7" t="s">
        <v>22</v>
      </c>
      <c r="E224" s="8" t="n">
        <v>125500</v>
      </c>
      <c r="F224" s="7" t="s">
        <v>56</v>
      </c>
      <c r="G224" s="0" t="str">
        <f aca="false">IF(B224="","",IFERROR(VLOOKUP(B224,Справочники!$A$4:$C$18,2,FALSE()),"нет в справочнике"))</f>
        <v>Расход</v>
      </c>
      <c r="H224" s="13" t="n">
        <f aca="false">IF(A224="","",DATE(YEAR(A224),MONTH(A224),1))</f>
        <v>45839</v>
      </c>
    </row>
    <row r="225" customFormat="false" ht="15" hidden="false" customHeight="false" outlineLevel="0" collapsed="false">
      <c r="A225" s="12" t="n">
        <v>45865</v>
      </c>
      <c r="B225" s="7" t="s">
        <v>26</v>
      </c>
      <c r="C225" s="7" t="s">
        <v>26</v>
      </c>
      <c r="D225" s="7" t="s">
        <v>27</v>
      </c>
      <c r="E225" s="8" t="n">
        <v>18600</v>
      </c>
      <c r="F225" s="7" t="s">
        <v>49</v>
      </c>
      <c r="G225" s="0" t="str">
        <f aca="false">IF(B225="","",IFERROR(VLOOKUP(B225,Справочники!$A$4:$C$18,2,FALSE()),"нет в справочнике"))</f>
        <v>Доход</v>
      </c>
      <c r="H225" s="13" t="n">
        <f aca="false">IF(A225="","",DATE(YEAR(A225),MONTH(A225),1))</f>
        <v>45839</v>
      </c>
    </row>
    <row r="226" customFormat="false" ht="15" hidden="false" customHeight="false" outlineLevel="0" collapsed="false">
      <c r="A226" s="12" t="n">
        <v>45866</v>
      </c>
      <c r="B226" s="7" t="s">
        <v>23</v>
      </c>
      <c r="C226" s="7" t="s">
        <v>24</v>
      </c>
      <c r="D226" s="7" t="s">
        <v>22</v>
      </c>
      <c r="E226" s="8" t="n">
        <v>89600</v>
      </c>
      <c r="F226" s="7" t="s">
        <v>129</v>
      </c>
      <c r="G226" s="0" t="str">
        <f aca="false">IF(B226="","",IFERROR(VLOOKUP(B226,Справочники!$A$4:$C$18,2,FALSE()),"нет в справочнике"))</f>
        <v>Доход</v>
      </c>
      <c r="H226" s="13" t="n">
        <f aca="false">IF(A226="","",DATE(YEAR(A226),MONTH(A226),1))</f>
        <v>45839</v>
      </c>
    </row>
    <row r="227" customFormat="false" ht="15" hidden="false" customHeight="false" outlineLevel="0" collapsed="false">
      <c r="A227" s="12" t="n">
        <v>45866</v>
      </c>
      <c r="B227" s="7" t="s">
        <v>26</v>
      </c>
      <c r="C227" s="7" t="s">
        <v>26</v>
      </c>
      <c r="D227" s="7" t="s">
        <v>27</v>
      </c>
      <c r="E227" s="8" t="n">
        <v>18300</v>
      </c>
      <c r="F227" s="7" t="s">
        <v>49</v>
      </c>
      <c r="G227" s="0" t="str">
        <f aca="false">IF(B227="","",IFERROR(VLOOKUP(B227,Справочники!$A$4:$C$18,2,FALSE()),"нет в справочнике"))</f>
        <v>Доход</v>
      </c>
      <c r="H227" s="13" t="n">
        <f aca="false">IF(A227="","",DATE(YEAR(A227),MONTH(A227),1))</f>
        <v>45839</v>
      </c>
    </row>
    <row r="228" customFormat="false" ht="15" hidden="false" customHeight="false" outlineLevel="0" collapsed="false">
      <c r="A228" s="12" t="n">
        <v>45866</v>
      </c>
      <c r="B228" s="7" t="s">
        <v>34</v>
      </c>
      <c r="C228" s="7" t="s">
        <v>21</v>
      </c>
      <c r="D228" s="7" t="s">
        <v>22</v>
      </c>
      <c r="E228" s="8" t="n">
        <v>178600</v>
      </c>
      <c r="F228" s="7" t="s">
        <v>68</v>
      </c>
      <c r="G228" s="0" t="str">
        <f aca="false">IF(B228="","",IFERROR(VLOOKUP(B228,Справочники!$A$4:$C$18,2,FALSE()),"нет в справочнике"))</f>
        <v>Расход</v>
      </c>
      <c r="H228" s="13" t="n">
        <f aca="false">IF(A228="","",DATE(YEAR(A228),MONTH(A228),1))</f>
        <v>45839</v>
      </c>
    </row>
    <row r="229" customFormat="false" ht="15" hidden="false" customHeight="false" outlineLevel="0" collapsed="false">
      <c r="A229" s="12" t="n">
        <v>45868</v>
      </c>
      <c r="B229" s="7" t="s">
        <v>18</v>
      </c>
      <c r="C229" s="7" t="s">
        <v>21</v>
      </c>
      <c r="D229" s="7" t="s">
        <v>22</v>
      </c>
      <c r="E229" s="8" t="n">
        <v>180300</v>
      </c>
      <c r="F229" s="7" t="s">
        <v>130</v>
      </c>
      <c r="G229" s="0" t="str">
        <f aca="false">IF(B229="","",IFERROR(VLOOKUP(B229,Справочники!$A$4:$C$18,2,FALSE()),"нет в справочнике"))</f>
        <v>Доход</v>
      </c>
      <c r="H229" s="13" t="n">
        <f aca="false">IF(A229="","",DATE(YEAR(A229),MONTH(A229),1))</f>
        <v>45839</v>
      </c>
    </row>
    <row r="230" customFormat="false" ht="15" hidden="false" customHeight="false" outlineLevel="0" collapsed="false">
      <c r="A230" s="12" t="n">
        <v>45868</v>
      </c>
      <c r="B230" s="7" t="s">
        <v>18</v>
      </c>
      <c r="C230" s="7" t="s">
        <v>21</v>
      </c>
      <c r="D230" s="7" t="s">
        <v>22</v>
      </c>
      <c r="E230" s="8" t="n">
        <v>206800</v>
      </c>
      <c r="F230" s="7" t="s">
        <v>131</v>
      </c>
      <c r="G230" s="0" t="str">
        <f aca="false">IF(B230="","",IFERROR(VLOOKUP(B230,Справочники!$A$4:$C$18,2,FALSE()),"нет в справочнике"))</f>
        <v>Доход</v>
      </c>
      <c r="H230" s="13" t="n">
        <f aca="false">IF(A230="","",DATE(YEAR(A230),MONTH(A230),1))</f>
        <v>45839</v>
      </c>
    </row>
    <row r="231" customFormat="false" ht="15" hidden="false" customHeight="false" outlineLevel="0" collapsed="false">
      <c r="A231" s="12" t="n">
        <v>45869</v>
      </c>
      <c r="B231" s="7" t="s">
        <v>40</v>
      </c>
      <c r="C231" s="7" t="s">
        <v>29</v>
      </c>
      <c r="D231" s="7" t="s">
        <v>27</v>
      </c>
      <c r="E231" s="8" t="n">
        <v>6700</v>
      </c>
      <c r="F231" s="7" t="s">
        <v>66</v>
      </c>
      <c r="G231" s="0" t="str">
        <f aca="false">IF(B231="","",IFERROR(VLOOKUP(B231,Справочники!$A$4:$C$18,2,FALSE()),"нет в справочнике"))</f>
        <v>Расход</v>
      </c>
      <c r="H231" s="13" t="n">
        <f aca="false">IF(A231="","",DATE(YEAR(A231),MONTH(A231),1))</f>
        <v>45839</v>
      </c>
    </row>
    <row r="232" customFormat="false" ht="15" hidden="false" customHeight="false" outlineLevel="0" collapsed="false">
      <c r="A232" s="12" t="n">
        <v>45871</v>
      </c>
      <c r="B232" s="7" t="s">
        <v>18</v>
      </c>
      <c r="C232" s="7" t="s">
        <v>21</v>
      </c>
      <c r="D232" s="7" t="s">
        <v>22</v>
      </c>
      <c r="E232" s="8" t="n">
        <v>173500</v>
      </c>
      <c r="F232" s="7" t="s">
        <v>132</v>
      </c>
      <c r="G232" s="0" t="str">
        <f aca="false">IF(B232="","",IFERROR(VLOOKUP(B232,Справочники!$A$4:$C$18,2,FALSE()),"нет в справочнике"))</f>
        <v>Доход</v>
      </c>
      <c r="H232" s="13" t="n">
        <f aca="false">IF(A232="","",DATE(YEAR(A232),MONTH(A232),1))</f>
        <v>45870</v>
      </c>
    </row>
    <row r="233" customFormat="false" ht="15" hidden="false" customHeight="false" outlineLevel="0" collapsed="false">
      <c r="A233" s="12" t="n">
        <v>45871</v>
      </c>
      <c r="B233" s="7" t="s">
        <v>23</v>
      </c>
      <c r="C233" s="7" t="s">
        <v>24</v>
      </c>
      <c r="D233" s="7" t="s">
        <v>27</v>
      </c>
      <c r="E233" s="8" t="n">
        <v>81100</v>
      </c>
      <c r="F233" s="7" t="s">
        <v>133</v>
      </c>
      <c r="G233" s="0" t="str">
        <f aca="false">IF(B233="","",IFERROR(VLOOKUP(B233,Справочники!$A$4:$C$18,2,FALSE()),"нет в справочнике"))</f>
        <v>Доход</v>
      </c>
      <c r="H233" s="13" t="n">
        <f aca="false">IF(A233="","",DATE(YEAR(A233),MONTH(A233),1))</f>
        <v>45870</v>
      </c>
    </row>
    <row r="234" customFormat="false" ht="15" hidden="false" customHeight="false" outlineLevel="0" collapsed="false">
      <c r="A234" s="12" t="n">
        <v>45871</v>
      </c>
      <c r="B234" s="7" t="s">
        <v>33</v>
      </c>
      <c r="C234" s="7" t="s">
        <v>21</v>
      </c>
      <c r="D234" s="7" t="s">
        <v>22</v>
      </c>
      <c r="E234" s="8" t="n">
        <v>37900</v>
      </c>
      <c r="F234" s="7" t="s">
        <v>59</v>
      </c>
      <c r="G234" s="0" t="str">
        <f aca="false">IF(B234="","",IFERROR(VLOOKUP(B234,Справочники!$A$4:$C$18,2,FALSE()),"нет в справочнике"))</f>
        <v>Расход</v>
      </c>
      <c r="H234" s="13" t="n">
        <f aca="false">IF(A234="","",DATE(YEAR(A234),MONTH(A234),1))</f>
        <v>45870</v>
      </c>
    </row>
    <row r="235" customFormat="false" ht="15" hidden="false" customHeight="false" outlineLevel="0" collapsed="false">
      <c r="A235" s="12" t="n">
        <v>45872</v>
      </c>
      <c r="B235" s="7" t="s">
        <v>31</v>
      </c>
      <c r="C235" s="7" t="s">
        <v>21</v>
      </c>
      <c r="D235" s="7" t="s">
        <v>22</v>
      </c>
      <c r="E235" s="8" t="n">
        <v>128600</v>
      </c>
      <c r="F235" s="7" t="s">
        <v>56</v>
      </c>
      <c r="G235" s="0" t="str">
        <f aca="false">IF(B235="","",IFERROR(VLOOKUP(B235,Справочники!$A$4:$C$18,2,FALSE()),"нет в справочнике"))</f>
        <v>Расход</v>
      </c>
      <c r="H235" s="13" t="n">
        <f aca="false">IF(A235="","",DATE(YEAR(A235),MONTH(A235),1))</f>
        <v>45870</v>
      </c>
    </row>
    <row r="236" customFormat="false" ht="15" hidden="false" customHeight="false" outlineLevel="0" collapsed="false">
      <c r="A236" s="12" t="n">
        <v>45874</v>
      </c>
      <c r="B236" s="7" t="s">
        <v>28</v>
      </c>
      <c r="C236" s="7" t="s">
        <v>21</v>
      </c>
      <c r="D236" s="7" t="s">
        <v>22</v>
      </c>
      <c r="E236" s="8" t="n">
        <v>17100</v>
      </c>
      <c r="F236" s="7" t="s">
        <v>61</v>
      </c>
      <c r="G236" s="0" t="str">
        <f aca="false">IF(B236="","",IFERROR(VLOOKUP(B236,Справочники!$A$4:$C$18,2,FALSE()),"нет в справочнике"))</f>
        <v>Доход</v>
      </c>
      <c r="H236" s="13" t="n">
        <f aca="false">IF(A236="","",DATE(YEAR(A236),MONTH(A236),1))</f>
        <v>45870</v>
      </c>
    </row>
    <row r="237" customFormat="false" ht="15" hidden="false" customHeight="false" outlineLevel="0" collapsed="false">
      <c r="A237" s="12" t="n">
        <v>45874</v>
      </c>
      <c r="B237" s="7" t="s">
        <v>31</v>
      </c>
      <c r="C237" s="7" t="s">
        <v>21</v>
      </c>
      <c r="D237" s="7" t="s">
        <v>22</v>
      </c>
      <c r="E237" s="8" t="n">
        <v>140900</v>
      </c>
      <c r="F237" s="7" t="s">
        <v>56</v>
      </c>
      <c r="G237" s="0" t="str">
        <f aca="false">IF(B237="","",IFERROR(VLOOKUP(B237,Справочники!$A$4:$C$18,2,FALSE()),"нет в справочнике"))</f>
        <v>Расход</v>
      </c>
      <c r="H237" s="13" t="n">
        <f aca="false">IF(A237="","",DATE(YEAR(A237),MONTH(A237),1))</f>
        <v>45870</v>
      </c>
    </row>
    <row r="238" customFormat="false" ht="15" hidden="false" customHeight="false" outlineLevel="0" collapsed="false">
      <c r="A238" s="12" t="n">
        <v>45874</v>
      </c>
      <c r="B238" s="7" t="s">
        <v>37</v>
      </c>
      <c r="C238" s="7" t="s">
        <v>29</v>
      </c>
      <c r="D238" s="7" t="s">
        <v>22</v>
      </c>
      <c r="E238" s="8" t="n">
        <v>85000</v>
      </c>
      <c r="F238" s="7" t="s">
        <v>51</v>
      </c>
      <c r="G238" s="0" t="str">
        <f aca="false">IF(B238="","",IFERROR(VLOOKUP(B238,Справочники!$A$4:$C$18,2,FALSE()),"нет в справочнике"))</f>
        <v>Расход</v>
      </c>
      <c r="H238" s="13" t="n">
        <f aca="false">IF(A238="","",DATE(YEAR(A238),MONTH(A238),1))</f>
        <v>45870</v>
      </c>
    </row>
    <row r="239" customFormat="false" ht="15" hidden="false" customHeight="false" outlineLevel="0" collapsed="false">
      <c r="A239" s="12" t="n">
        <v>45876</v>
      </c>
      <c r="B239" s="7" t="s">
        <v>31</v>
      </c>
      <c r="C239" s="7" t="s">
        <v>21</v>
      </c>
      <c r="D239" s="7" t="s">
        <v>22</v>
      </c>
      <c r="E239" s="8" t="n">
        <v>146700</v>
      </c>
      <c r="F239" s="7" t="s">
        <v>56</v>
      </c>
      <c r="G239" s="0" t="str">
        <f aca="false">IF(B239="","",IFERROR(VLOOKUP(B239,Справочники!$A$4:$C$18,2,FALSE()),"нет в справочнике"))</f>
        <v>Расход</v>
      </c>
      <c r="H239" s="13" t="n">
        <f aca="false">IF(A239="","",DATE(YEAR(A239),MONTH(A239),1))</f>
        <v>45870</v>
      </c>
    </row>
    <row r="240" customFormat="false" ht="15" hidden="false" customHeight="false" outlineLevel="0" collapsed="false">
      <c r="A240" s="12" t="n">
        <v>45877</v>
      </c>
      <c r="B240" s="7" t="s">
        <v>39</v>
      </c>
      <c r="C240" s="7" t="s">
        <v>29</v>
      </c>
      <c r="D240" s="7" t="s">
        <v>27</v>
      </c>
      <c r="E240" s="8" t="n">
        <v>36400</v>
      </c>
      <c r="F240" s="7" t="s">
        <v>53</v>
      </c>
      <c r="G240" s="0" t="str">
        <f aca="false">IF(B240="","",IFERROR(VLOOKUP(B240,Справочники!$A$4:$C$18,2,FALSE()),"нет в справочнике"))</f>
        <v>Расход</v>
      </c>
      <c r="H240" s="13" t="n">
        <f aca="false">IF(A240="","",DATE(YEAR(A240),MONTH(A240),1))</f>
        <v>45870</v>
      </c>
    </row>
    <row r="241" customFormat="false" ht="15" hidden="false" customHeight="false" outlineLevel="0" collapsed="false">
      <c r="A241" s="12" t="n">
        <v>45879</v>
      </c>
      <c r="B241" s="7" t="s">
        <v>18</v>
      </c>
      <c r="C241" s="7" t="s">
        <v>21</v>
      </c>
      <c r="D241" s="7" t="s">
        <v>22</v>
      </c>
      <c r="E241" s="8" t="n">
        <v>173500</v>
      </c>
      <c r="F241" s="7" t="s">
        <v>134</v>
      </c>
      <c r="G241" s="0" t="str">
        <f aca="false">IF(B241="","",IFERROR(VLOOKUP(B241,Справочники!$A$4:$C$18,2,FALSE()),"нет в справочнике"))</f>
        <v>Доход</v>
      </c>
      <c r="H241" s="13" t="n">
        <f aca="false">IF(A241="","",DATE(YEAR(A241),MONTH(A241),1))</f>
        <v>45870</v>
      </c>
    </row>
    <row r="242" customFormat="false" ht="15" hidden="false" customHeight="false" outlineLevel="0" collapsed="false">
      <c r="A242" s="12" t="n">
        <v>45879</v>
      </c>
      <c r="B242" s="7" t="s">
        <v>36</v>
      </c>
      <c r="C242" s="7" t="s">
        <v>29</v>
      </c>
      <c r="D242" s="7" t="s">
        <v>22</v>
      </c>
      <c r="E242" s="8" t="n">
        <v>210000</v>
      </c>
      <c r="F242" s="7" t="s">
        <v>57</v>
      </c>
      <c r="G242" s="0" t="str">
        <f aca="false">IF(B242="","",IFERROR(VLOOKUP(B242,Справочники!$A$4:$C$18,2,FALSE()),"нет в справочнике"))</f>
        <v>Расход</v>
      </c>
      <c r="H242" s="13" t="n">
        <f aca="false">IF(A242="","",DATE(YEAR(A242),MONTH(A242),1))</f>
        <v>45870</v>
      </c>
    </row>
    <row r="243" customFormat="false" ht="15" hidden="false" customHeight="false" outlineLevel="0" collapsed="false">
      <c r="A243" s="12" t="n">
        <v>45880</v>
      </c>
      <c r="B243" s="7" t="s">
        <v>33</v>
      </c>
      <c r="C243" s="7" t="s">
        <v>24</v>
      </c>
      <c r="D243" s="7" t="s">
        <v>22</v>
      </c>
      <c r="E243" s="8" t="n">
        <v>37200</v>
      </c>
      <c r="F243" s="7" t="s">
        <v>59</v>
      </c>
      <c r="G243" s="0" t="str">
        <f aca="false">IF(B243="","",IFERROR(VLOOKUP(B243,Справочники!$A$4:$C$18,2,FALSE()),"нет в справочнике"))</f>
        <v>Расход</v>
      </c>
      <c r="H243" s="13" t="n">
        <f aca="false">IF(A243="","",DATE(YEAR(A243),MONTH(A243),1))</f>
        <v>45870</v>
      </c>
    </row>
    <row r="244" customFormat="false" ht="15" hidden="false" customHeight="false" outlineLevel="0" collapsed="false">
      <c r="A244" s="12" t="n">
        <v>45881</v>
      </c>
      <c r="B244" s="7" t="s">
        <v>18</v>
      </c>
      <c r="C244" s="7" t="s">
        <v>21</v>
      </c>
      <c r="D244" s="7" t="s">
        <v>22</v>
      </c>
      <c r="E244" s="8" t="n">
        <v>202900</v>
      </c>
      <c r="F244" s="7" t="s">
        <v>135</v>
      </c>
      <c r="G244" s="0" t="str">
        <f aca="false">IF(B244="","",IFERROR(VLOOKUP(B244,Справочники!$A$4:$C$18,2,FALSE()),"нет в справочнике"))</f>
        <v>Доход</v>
      </c>
      <c r="H244" s="13" t="n">
        <f aca="false">IF(A244="","",DATE(YEAR(A244),MONTH(A244),1))</f>
        <v>45870</v>
      </c>
    </row>
    <row r="245" customFormat="false" ht="15" hidden="false" customHeight="false" outlineLevel="0" collapsed="false">
      <c r="A245" s="12" t="n">
        <v>45882</v>
      </c>
      <c r="B245" s="7" t="s">
        <v>26</v>
      </c>
      <c r="C245" s="7" t="s">
        <v>26</v>
      </c>
      <c r="D245" s="7" t="s">
        <v>27</v>
      </c>
      <c r="E245" s="8" t="n">
        <v>20200</v>
      </c>
      <c r="F245" s="7" t="s">
        <v>49</v>
      </c>
      <c r="G245" s="0" t="str">
        <f aca="false">IF(B245="","",IFERROR(VLOOKUP(B245,Справочники!$A$4:$C$18,2,FALSE()),"нет в справочнике"))</f>
        <v>Доход</v>
      </c>
      <c r="H245" s="13" t="n">
        <f aca="false">IF(A245="","",DATE(YEAR(A245),MONTH(A245),1))</f>
        <v>45870</v>
      </c>
    </row>
    <row r="246" customFormat="false" ht="15" hidden="false" customHeight="false" outlineLevel="0" collapsed="false">
      <c r="A246" s="12" t="n">
        <v>45883</v>
      </c>
      <c r="B246" s="7" t="s">
        <v>23</v>
      </c>
      <c r="C246" s="7" t="s">
        <v>24</v>
      </c>
      <c r="D246" s="7" t="s">
        <v>27</v>
      </c>
      <c r="E246" s="8" t="n">
        <v>70300</v>
      </c>
      <c r="F246" s="7" t="s">
        <v>136</v>
      </c>
      <c r="G246" s="0" t="str">
        <f aca="false">IF(B246="","",IFERROR(VLOOKUP(B246,Справочники!$A$4:$C$18,2,FALSE()),"нет в справочнике"))</f>
        <v>Доход</v>
      </c>
      <c r="H246" s="13" t="n">
        <f aca="false">IF(A246="","",DATE(YEAR(A246),MONTH(A246),1))</f>
        <v>45870</v>
      </c>
    </row>
    <row r="247" customFormat="false" ht="15" hidden="false" customHeight="false" outlineLevel="0" collapsed="false">
      <c r="A247" s="12" t="n">
        <v>45883</v>
      </c>
      <c r="B247" s="7" t="s">
        <v>23</v>
      </c>
      <c r="C247" s="7" t="s">
        <v>24</v>
      </c>
      <c r="D247" s="7" t="s">
        <v>22</v>
      </c>
      <c r="E247" s="8" t="n">
        <v>116200</v>
      </c>
      <c r="F247" s="7" t="s">
        <v>137</v>
      </c>
      <c r="G247" s="0" t="str">
        <f aca="false">IF(B247="","",IFERROR(VLOOKUP(B247,Справочники!$A$4:$C$18,2,FALSE()),"нет в справочнике"))</f>
        <v>Доход</v>
      </c>
      <c r="H247" s="13" t="n">
        <f aca="false">IF(A247="","",DATE(YEAR(A247),MONTH(A247),1))</f>
        <v>45870</v>
      </c>
    </row>
    <row r="248" customFormat="false" ht="15" hidden="false" customHeight="false" outlineLevel="0" collapsed="false">
      <c r="A248" s="12" t="n">
        <v>45883</v>
      </c>
      <c r="B248" s="7" t="s">
        <v>28</v>
      </c>
      <c r="C248" s="7" t="s">
        <v>21</v>
      </c>
      <c r="D248" s="7" t="s">
        <v>22</v>
      </c>
      <c r="E248" s="8" t="n">
        <v>10300</v>
      </c>
      <c r="F248" s="7" t="s">
        <v>61</v>
      </c>
      <c r="G248" s="0" t="str">
        <f aca="false">IF(B248="","",IFERROR(VLOOKUP(B248,Справочники!$A$4:$C$18,2,FALSE()),"нет в справочнике"))</f>
        <v>Доход</v>
      </c>
      <c r="H248" s="13" t="n">
        <f aca="false">IF(A248="","",DATE(YEAR(A248),MONTH(A248),1))</f>
        <v>45870</v>
      </c>
    </row>
    <row r="249" customFormat="false" ht="15" hidden="false" customHeight="false" outlineLevel="0" collapsed="false">
      <c r="A249" s="12" t="n">
        <v>45884</v>
      </c>
      <c r="B249" s="7" t="s">
        <v>38</v>
      </c>
      <c r="C249" s="7" t="s">
        <v>29</v>
      </c>
      <c r="D249" s="7" t="s">
        <v>22</v>
      </c>
      <c r="E249" s="8" t="n">
        <v>20700</v>
      </c>
      <c r="F249" s="7" t="s">
        <v>63</v>
      </c>
      <c r="G249" s="0" t="str">
        <f aca="false">IF(B249="","",IFERROR(VLOOKUP(B249,Справочники!$A$4:$C$18,2,FALSE()),"нет в справочнике"))</f>
        <v>Расход</v>
      </c>
      <c r="H249" s="13" t="n">
        <f aca="false">IF(A249="","",DATE(YEAR(A249),MONTH(A249),1))</f>
        <v>45870</v>
      </c>
    </row>
    <row r="250" customFormat="false" ht="15" hidden="false" customHeight="false" outlineLevel="0" collapsed="false">
      <c r="A250" s="12" t="n">
        <v>45885</v>
      </c>
      <c r="B250" s="7" t="s">
        <v>26</v>
      </c>
      <c r="C250" s="7" t="s">
        <v>26</v>
      </c>
      <c r="D250" s="7" t="s">
        <v>25</v>
      </c>
      <c r="E250" s="8" t="n">
        <v>23200</v>
      </c>
      <c r="F250" s="7" t="s">
        <v>49</v>
      </c>
      <c r="G250" s="0" t="str">
        <f aca="false">IF(B250="","",IFERROR(VLOOKUP(B250,Справочники!$A$4:$C$18,2,FALSE()),"нет в справочнике"))</f>
        <v>Доход</v>
      </c>
      <c r="H250" s="13" t="n">
        <f aca="false">IF(A250="","",DATE(YEAR(A250),MONTH(A250),1))</f>
        <v>45870</v>
      </c>
    </row>
    <row r="251" customFormat="false" ht="15" hidden="false" customHeight="false" outlineLevel="0" collapsed="false">
      <c r="A251" s="12" t="n">
        <v>45885</v>
      </c>
      <c r="B251" s="7" t="s">
        <v>33</v>
      </c>
      <c r="C251" s="7" t="s">
        <v>24</v>
      </c>
      <c r="D251" s="7" t="s">
        <v>22</v>
      </c>
      <c r="E251" s="8" t="n">
        <v>31600</v>
      </c>
      <c r="F251" s="7" t="s">
        <v>59</v>
      </c>
      <c r="G251" s="0" t="str">
        <f aca="false">IF(B251="","",IFERROR(VLOOKUP(B251,Справочники!$A$4:$C$18,2,FALSE()),"нет в справочнике"))</f>
        <v>Расход</v>
      </c>
      <c r="H251" s="13" t="n">
        <f aca="false">IF(A251="","",DATE(YEAR(A251),MONTH(A251),1))</f>
        <v>45870</v>
      </c>
    </row>
    <row r="252" customFormat="false" ht="15" hidden="false" customHeight="false" outlineLevel="0" collapsed="false">
      <c r="A252" s="12" t="n">
        <v>45886</v>
      </c>
      <c r="B252" s="7" t="s">
        <v>28</v>
      </c>
      <c r="C252" s="7" t="s">
        <v>24</v>
      </c>
      <c r="D252" s="7" t="s">
        <v>22</v>
      </c>
      <c r="E252" s="8" t="n">
        <v>16700</v>
      </c>
      <c r="F252" s="7" t="s">
        <v>61</v>
      </c>
      <c r="G252" s="0" t="str">
        <f aca="false">IF(B252="","",IFERROR(VLOOKUP(B252,Справочники!$A$4:$C$18,2,FALSE()),"нет в справочнике"))</f>
        <v>Доход</v>
      </c>
      <c r="H252" s="13" t="n">
        <f aca="false">IF(A252="","",DATE(YEAR(A252),MONTH(A252),1))</f>
        <v>45870</v>
      </c>
    </row>
    <row r="253" customFormat="false" ht="15" hidden="false" customHeight="false" outlineLevel="0" collapsed="false">
      <c r="A253" s="12" t="n">
        <v>45887</v>
      </c>
      <c r="B253" s="7" t="s">
        <v>18</v>
      </c>
      <c r="C253" s="7" t="s">
        <v>21</v>
      </c>
      <c r="D253" s="7" t="s">
        <v>22</v>
      </c>
      <c r="E253" s="8" t="n">
        <v>203900</v>
      </c>
      <c r="F253" s="7" t="s">
        <v>138</v>
      </c>
      <c r="G253" s="0" t="str">
        <f aca="false">IF(B253="","",IFERROR(VLOOKUP(B253,Справочники!$A$4:$C$18,2,FALSE()),"нет в справочнике"))</f>
        <v>Доход</v>
      </c>
      <c r="H253" s="13" t="n">
        <f aca="false">IF(A253="","",DATE(YEAR(A253),MONTH(A253),1))</f>
        <v>45870</v>
      </c>
    </row>
    <row r="254" customFormat="false" ht="15" hidden="false" customHeight="false" outlineLevel="0" collapsed="false">
      <c r="A254" s="12" t="n">
        <v>45887</v>
      </c>
      <c r="B254" s="7" t="s">
        <v>23</v>
      </c>
      <c r="C254" s="7" t="s">
        <v>24</v>
      </c>
      <c r="D254" s="7" t="s">
        <v>22</v>
      </c>
      <c r="E254" s="8" t="n">
        <v>75200</v>
      </c>
      <c r="F254" s="7" t="s">
        <v>139</v>
      </c>
      <c r="G254" s="0" t="str">
        <f aca="false">IF(B254="","",IFERROR(VLOOKUP(B254,Справочники!$A$4:$C$18,2,FALSE()),"нет в справочнике"))</f>
        <v>Доход</v>
      </c>
      <c r="H254" s="13" t="n">
        <f aca="false">IF(A254="","",DATE(YEAR(A254),MONTH(A254),1))</f>
        <v>45870</v>
      </c>
    </row>
    <row r="255" customFormat="false" ht="15" hidden="false" customHeight="false" outlineLevel="0" collapsed="false">
      <c r="A255" s="12" t="n">
        <v>45888</v>
      </c>
      <c r="B255" s="7" t="s">
        <v>31</v>
      </c>
      <c r="C255" s="7" t="s">
        <v>24</v>
      </c>
      <c r="D255" s="7" t="s">
        <v>22</v>
      </c>
      <c r="E255" s="8" t="n">
        <v>138900</v>
      </c>
      <c r="F255" s="7" t="s">
        <v>56</v>
      </c>
      <c r="G255" s="0" t="str">
        <f aca="false">IF(B255="","",IFERROR(VLOOKUP(B255,Справочники!$A$4:$C$18,2,FALSE()),"нет в справочнике"))</f>
        <v>Расход</v>
      </c>
      <c r="H255" s="13" t="n">
        <f aca="false">IF(A255="","",DATE(YEAR(A255),MONTH(A255),1))</f>
        <v>45870</v>
      </c>
    </row>
    <row r="256" customFormat="false" ht="15" hidden="false" customHeight="false" outlineLevel="0" collapsed="false">
      <c r="A256" s="12" t="n">
        <v>45889</v>
      </c>
      <c r="B256" s="7" t="s">
        <v>28</v>
      </c>
      <c r="C256" s="7" t="s">
        <v>21</v>
      </c>
      <c r="D256" s="7" t="s">
        <v>22</v>
      </c>
      <c r="E256" s="8" t="n">
        <v>9900</v>
      </c>
      <c r="F256" s="7" t="s">
        <v>61</v>
      </c>
      <c r="G256" s="0" t="str">
        <f aca="false">IF(B256="","",IFERROR(VLOOKUP(B256,Справочники!$A$4:$C$18,2,FALSE()),"нет в справочнике"))</f>
        <v>Доход</v>
      </c>
      <c r="H256" s="13" t="n">
        <f aca="false">IF(A256="","",DATE(YEAR(A256),MONTH(A256),1))</f>
        <v>45870</v>
      </c>
    </row>
    <row r="257" customFormat="false" ht="15" hidden="false" customHeight="false" outlineLevel="0" collapsed="false">
      <c r="A257" s="12" t="n">
        <v>45889</v>
      </c>
      <c r="B257" s="7" t="s">
        <v>35</v>
      </c>
      <c r="C257" s="7" t="s">
        <v>24</v>
      </c>
      <c r="D257" s="7" t="s">
        <v>27</v>
      </c>
      <c r="E257" s="8" t="n">
        <v>53100</v>
      </c>
      <c r="F257" s="7" t="s">
        <v>55</v>
      </c>
      <c r="G257" s="0" t="str">
        <f aca="false">IF(B257="","",IFERROR(VLOOKUP(B257,Справочники!$A$4:$C$18,2,FALSE()),"нет в справочнике"))</f>
        <v>Расход</v>
      </c>
      <c r="H257" s="13" t="n">
        <f aca="false">IF(A257="","",DATE(YEAR(A257),MONTH(A257),1))</f>
        <v>45870</v>
      </c>
    </row>
    <row r="258" customFormat="false" ht="15" hidden="false" customHeight="false" outlineLevel="0" collapsed="false">
      <c r="A258" s="12" t="n">
        <v>45889</v>
      </c>
      <c r="B258" s="7" t="s">
        <v>41</v>
      </c>
      <c r="C258" s="7" t="s">
        <v>29</v>
      </c>
      <c r="D258" s="7" t="s">
        <v>22</v>
      </c>
      <c r="E258" s="8" t="n">
        <v>12500</v>
      </c>
      <c r="F258" s="7" t="s">
        <v>67</v>
      </c>
      <c r="G258" s="0" t="str">
        <f aca="false">IF(B258="","",IFERROR(VLOOKUP(B258,Справочники!$A$4:$C$18,2,FALSE()),"нет в справочнике"))</f>
        <v>Расход</v>
      </c>
      <c r="H258" s="13" t="n">
        <f aca="false">IF(A258="","",DATE(YEAR(A258),MONTH(A258),1))</f>
        <v>45870</v>
      </c>
    </row>
    <row r="259" customFormat="false" ht="15" hidden="false" customHeight="false" outlineLevel="0" collapsed="false">
      <c r="A259" s="12" t="n">
        <v>45891</v>
      </c>
      <c r="B259" s="7" t="s">
        <v>26</v>
      </c>
      <c r="C259" s="7" t="s">
        <v>26</v>
      </c>
      <c r="D259" s="7" t="s">
        <v>27</v>
      </c>
      <c r="E259" s="8" t="n">
        <v>19800</v>
      </c>
      <c r="F259" s="7" t="s">
        <v>49</v>
      </c>
      <c r="G259" s="0" t="str">
        <f aca="false">IF(B259="","",IFERROR(VLOOKUP(B259,Справочники!$A$4:$C$18,2,FALSE()),"нет в справочнике"))</f>
        <v>Доход</v>
      </c>
      <c r="H259" s="13" t="n">
        <f aca="false">IF(A259="","",DATE(YEAR(A259),MONTH(A259),1))</f>
        <v>45870</v>
      </c>
    </row>
    <row r="260" customFormat="false" ht="15" hidden="false" customHeight="false" outlineLevel="0" collapsed="false">
      <c r="A260" s="12" t="n">
        <v>45896</v>
      </c>
      <c r="B260" s="7" t="s">
        <v>23</v>
      </c>
      <c r="C260" s="7" t="s">
        <v>24</v>
      </c>
      <c r="D260" s="7" t="s">
        <v>22</v>
      </c>
      <c r="E260" s="8" t="n">
        <v>67600</v>
      </c>
      <c r="F260" s="7" t="s">
        <v>140</v>
      </c>
      <c r="G260" s="0" t="str">
        <f aca="false">IF(B260="","",IFERROR(VLOOKUP(B260,Справочники!$A$4:$C$18,2,FALSE()),"нет в справочнике"))</f>
        <v>Доход</v>
      </c>
      <c r="H260" s="13" t="n">
        <f aca="false">IF(A260="","",DATE(YEAR(A260),MONTH(A260),1))</f>
        <v>45870</v>
      </c>
    </row>
    <row r="261" customFormat="false" ht="15" hidden="false" customHeight="false" outlineLevel="0" collapsed="false">
      <c r="A261" s="12" t="n">
        <v>45896</v>
      </c>
      <c r="B261" s="7" t="s">
        <v>26</v>
      </c>
      <c r="C261" s="7" t="s">
        <v>26</v>
      </c>
      <c r="D261" s="7" t="s">
        <v>25</v>
      </c>
      <c r="E261" s="8" t="n">
        <v>22100</v>
      </c>
      <c r="F261" s="7" t="s">
        <v>49</v>
      </c>
      <c r="G261" s="0" t="str">
        <f aca="false">IF(B261="","",IFERROR(VLOOKUP(B261,Справочники!$A$4:$C$18,2,FALSE()),"нет в справочнике"))</f>
        <v>Доход</v>
      </c>
      <c r="H261" s="13" t="n">
        <f aca="false">IF(A261="","",DATE(YEAR(A261),MONTH(A261),1))</f>
        <v>45870</v>
      </c>
    </row>
    <row r="262" customFormat="false" ht="15" hidden="false" customHeight="false" outlineLevel="0" collapsed="false">
      <c r="A262" s="12" t="n">
        <v>45897</v>
      </c>
      <c r="B262" s="7" t="s">
        <v>18</v>
      </c>
      <c r="C262" s="7" t="s">
        <v>21</v>
      </c>
      <c r="D262" s="7" t="s">
        <v>22</v>
      </c>
      <c r="E262" s="8" t="n">
        <v>167500</v>
      </c>
      <c r="F262" s="7" t="s">
        <v>141</v>
      </c>
      <c r="G262" s="0" t="str">
        <f aca="false">IF(B262="","",IFERROR(VLOOKUP(B262,Справочники!$A$4:$C$18,2,FALSE()),"нет в справочнике"))</f>
        <v>Доход</v>
      </c>
      <c r="H262" s="13" t="n">
        <f aca="false">IF(A262="","",DATE(YEAR(A262),MONTH(A262),1))</f>
        <v>45870</v>
      </c>
    </row>
    <row r="263" customFormat="false" ht="15" hidden="false" customHeight="false" outlineLevel="0" collapsed="false">
      <c r="A263" s="12" t="n">
        <v>45897</v>
      </c>
      <c r="B263" s="7" t="s">
        <v>18</v>
      </c>
      <c r="C263" s="7" t="s">
        <v>21</v>
      </c>
      <c r="D263" s="7" t="s">
        <v>22</v>
      </c>
      <c r="E263" s="8" t="n">
        <v>167100</v>
      </c>
      <c r="F263" s="7" t="s">
        <v>142</v>
      </c>
      <c r="G263" s="0" t="str">
        <f aca="false">IF(B263="","",IFERROR(VLOOKUP(B263,Справочники!$A$4:$C$18,2,FALSE()),"нет в справочнике"))</f>
        <v>Доход</v>
      </c>
      <c r="H263" s="13" t="n">
        <f aca="false">IF(A263="","",DATE(YEAR(A263),MONTH(A263),1))</f>
        <v>45870</v>
      </c>
    </row>
    <row r="264" customFormat="false" ht="15" hidden="false" customHeight="false" outlineLevel="0" collapsed="false">
      <c r="A264" s="12" t="n">
        <v>45897</v>
      </c>
      <c r="B264" s="7" t="s">
        <v>26</v>
      </c>
      <c r="C264" s="7" t="s">
        <v>26</v>
      </c>
      <c r="D264" s="7" t="s">
        <v>25</v>
      </c>
      <c r="E264" s="8" t="n">
        <v>28200</v>
      </c>
      <c r="F264" s="7" t="s">
        <v>49</v>
      </c>
      <c r="G264" s="0" t="str">
        <f aca="false">IF(B264="","",IFERROR(VLOOKUP(B264,Справочники!$A$4:$C$18,2,FALSE()),"нет в справочнике"))</f>
        <v>Доход</v>
      </c>
      <c r="H264" s="13" t="n">
        <f aca="false">IF(A264="","",DATE(YEAR(A264),MONTH(A264),1))</f>
        <v>45870</v>
      </c>
    </row>
    <row r="265" customFormat="false" ht="15" hidden="false" customHeight="false" outlineLevel="0" collapsed="false">
      <c r="A265" s="12" t="n">
        <v>45897</v>
      </c>
      <c r="B265" s="7" t="s">
        <v>26</v>
      </c>
      <c r="C265" s="7" t="s">
        <v>26</v>
      </c>
      <c r="D265" s="7" t="s">
        <v>25</v>
      </c>
      <c r="E265" s="8" t="n">
        <v>30100</v>
      </c>
      <c r="F265" s="7" t="s">
        <v>49</v>
      </c>
      <c r="G265" s="0" t="str">
        <f aca="false">IF(B265="","",IFERROR(VLOOKUP(B265,Справочники!$A$4:$C$18,2,FALSE()),"нет в справочнике"))</f>
        <v>Доход</v>
      </c>
      <c r="H265" s="13" t="n">
        <f aca="false">IF(A265="","",DATE(YEAR(A265),MONTH(A265),1))</f>
        <v>45870</v>
      </c>
    </row>
    <row r="266" customFormat="false" ht="15" hidden="false" customHeight="false" outlineLevel="0" collapsed="false">
      <c r="A266" s="12" t="n">
        <v>45897</v>
      </c>
      <c r="B266" s="7" t="s">
        <v>34</v>
      </c>
      <c r="C266" s="7" t="s">
        <v>21</v>
      </c>
      <c r="D266" s="7" t="s">
        <v>22</v>
      </c>
      <c r="E266" s="8" t="n">
        <v>194900</v>
      </c>
      <c r="F266" s="7" t="s">
        <v>68</v>
      </c>
      <c r="G266" s="0" t="str">
        <f aca="false">IF(B266="","",IFERROR(VLOOKUP(B266,Справочники!$A$4:$C$18,2,FALSE()),"нет в справочнике"))</f>
        <v>Расход</v>
      </c>
      <c r="H266" s="13" t="n">
        <f aca="false">IF(A266="","",DATE(YEAR(A266),MONTH(A266),1))</f>
        <v>45870</v>
      </c>
    </row>
    <row r="267" customFormat="false" ht="15" hidden="false" customHeight="false" outlineLevel="0" collapsed="false">
      <c r="A267" s="12" t="n">
        <v>45899</v>
      </c>
      <c r="B267" s="7" t="s">
        <v>28</v>
      </c>
      <c r="C267" s="7" t="s">
        <v>24</v>
      </c>
      <c r="D267" s="7" t="s">
        <v>22</v>
      </c>
      <c r="E267" s="8" t="n">
        <v>12000</v>
      </c>
      <c r="F267" s="7" t="s">
        <v>61</v>
      </c>
      <c r="G267" s="0" t="str">
        <f aca="false">IF(B267="","",IFERROR(VLOOKUP(B267,Справочники!$A$4:$C$18,2,FALSE()),"нет в справочнике"))</f>
        <v>Доход</v>
      </c>
      <c r="H267" s="13" t="n">
        <f aca="false">IF(A267="","",DATE(YEAR(A267),MONTH(A267),1))</f>
        <v>45870</v>
      </c>
    </row>
    <row r="268" customFormat="false" ht="15" hidden="false" customHeight="false" outlineLevel="0" collapsed="false">
      <c r="A268" s="12" t="n">
        <v>45899</v>
      </c>
      <c r="B268" s="7" t="s">
        <v>33</v>
      </c>
      <c r="C268" s="7" t="s">
        <v>21</v>
      </c>
      <c r="D268" s="7" t="s">
        <v>22</v>
      </c>
      <c r="E268" s="8" t="n">
        <v>40100</v>
      </c>
      <c r="F268" s="7" t="s">
        <v>59</v>
      </c>
      <c r="G268" s="0" t="str">
        <f aca="false">IF(B268="","",IFERROR(VLOOKUP(B268,Справочники!$A$4:$C$18,2,FALSE()),"нет в справочнике"))</f>
        <v>Расход</v>
      </c>
      <c r="H268" s="13" t="n">
        <f aca="false">IF(A268="","",DATE(YEAR(A268),MONTH(A268),1))</f>
        <v>45870</v>
      </c>
    </row>
    <row r="269" customFormat="false" ht="15" hidden="false" customHeight="false" outlineLevel="0" collapsed="false">
      <c r="A269" s="12" t="n">
        <v>45900</v>
      </c>
      <c r="B269" s="7" t="s">
        <v>23</v>
      </c>
      <c r="C269" s="7" t="s">
        <v>24</v>
      </c>
      <c r="D269" s="7" t="s">
        <v>22</v>
      </c>
      <c r="E269" s="8" t="n">
        <v>63600</v>
      </c>
      <c r="F269" s="7" t="s">
        <v>143</v>
      </c>
      <c r="G269" s="0" t="str">
        <f aca="false">IF(B269="","",IFERROR(VLOOKUP(B269,Справочники!$A$4:$C$18,2,FALSE()),"нет в справочнике"))</f>
        <v>Доход</v>
      </c>
      <c r="H269" s="13" t="n">
        <f aca="false">IF(A269="","",DATE(YEAR(A269),MONTH(A269),1))</f>
        <v>45870</v>
      </c>
    </row>
    <row r="270" customFormat="false" ht="15" hidden="false" customHeight="false" outlineLevel="0" collapsed="false">
      <c r="A270" s="12" t="n">
        <v>45901</v>
      </c>
      <c r="B270" s="7" t="s">
        <v>23</v>
      </c>
      <c r="C270" s="7" t="s">
        <v>24</v>
      </c>
      <c r="D270" s="7" t="s">
        <v>22</v>
      </c>
      <c r="E270" s="8" t="n">
        <v>152500</v>
      </c>
      <c r="F270" s="7" t="s">
        <v>144</v>
      </c>
      <c r="G270" s="0" t="str">
        <f aca="false">IF(B270="","",IFERROR(VLOOKUP(B270,Справочники!$A$4:$C$18,2,FALSE()),"нет в справочнике"))</f>
        <v>Доход</v>
      </c>
      <c r="H270" s="13" t="n">
        <f aca="false">IF(A270="","",DATE(YEAR(A270),MONTH(A270),1))</f>
        <v>45901</v>
      </c>
    </row>
    <row r="271" customFormat="false" ht="15" hidden="false" customHeight="false" outlineLevel="0" collapsed="false">
      <c r="A271" s="12" t="n">
        <v>45901</v>
      </c>
      <c r="B271" s="7" t="s">
        <v>28</v>
      </c>
      <c r="C271" s="7" t="s">
        <v>21</v>
      </c>
      <c r="D271" s="7" t="s">
        <v>22</v>
      </c>
      <c r="E271" s="8" t="n">
        <v>22800</v>
      </c>
      <c r="F271" s="7" t="s">
        <v>61</v>
      </c>
      <c r="G271" s="0" t="str">
        <f aca="false">IF(B271="","",IFERROR(VLOOKUP(B271,Справочники!$A$4:$C$18,2,FALSE()),"нет в справочнике"))</f>
        <v>Доход</v>
      </c>
      <c r="H271" s="13" t="n">
        <f aca="false">IF(A271="","",DATE(YEAR(A271),MONTH(A271),1))</f>
        <v>45901</v>
      </c>
    </row>
    <row r="272" customFormat="false" ht="15" hidden="false" customHeight="false" outlineLevel="0" collapsed="false">
      <c r="A272" s="12" t="n">
        <v>45901</v>
      </c>
      <c r="B272" s="7" t="s">
        <v>28</v>
      </c>
      <c r="C272" s="7" t="s">
        <v>24</v>
      </c>
      <c r="D272" s="7" t="s">
        <v>22</v>
      </c>
      <c r="E272" s="8" t="n">
        <v>10900</v>
      </c>
      <c r="F272" s="7" t="s">
        <v>61</v>
      </c>
      <c r="G272" s="0" t="str">
        <f aca="false">IF(B272="","",IFERROR(VLOOKUP(B272,Справочники!$A$4:$C$18,2,FALSE()),"нет в справочнике"))</f>
        <v>Доход</v>
      </c>
      <c r="H272" s="13" t="n">
        <f aca="false">IF(A272="","",DATE(YEAR(A272),MONTH(A272),1))</f>
        <v>45901</v>
      </c>
    </row>
    <row r="273" customFormat="false" ht="15" hidden="false" customHeight="false" outlineLevel="0" collapsed="false">
      <c r="A273" s="12" t="n">
        <v>45901</v>
      </c>
      <c r="B273" s="7" t="s">
        <v>39</v>
      </c>
      <c r="C273" s="7" t="s">
        <v>29</v>
      </c>
      <c r="D273" s="7" t="s">
        <v>27</v>
      </c>
      <c r="E273" s="8" t="n">
        <v>35600</v>
      </c>
      <c r="F273" s="7" t="s">
        <v>53</v>
      </c>
      <c r="G273" s="0" t="str">
        <f aca="false">IF(B273="","",IFERROR(VLOOKUP(B273,Справочники!$A$4:$C$18,2,FALSE()),"нет в справочнике"))</f>
        <v>Расход</v>
      </c>
      <c r="H273" s="13" t="n">
        <f aca="false">IF(A273="","",DATE(YEAR(A273),MONTH(A273),1))</f>
        <v>45901</v>
      </c>
    </row>
    <row r="274" customFormat="false" ht="15" hidden="false" customHeight="false" outlineLevel="0" collapsed="false">
      <c r="A274" s="12" t="n">
        <v>45902</v>
      </c>
      <c r="B274" s="7" t="s">
        <v>23</v>
      </c>
      <c r="C274" s="7" t="s">
        <v>24</v>
      </c>
      <c r="D274" s="7" t="s">
        <v>27</v>
      </c>
      <c r="E274" s="8" t="n">
        <v>108200</v>
      </c>
      <c r="F274" s="7" t="s">
        <v>145</v>
      </c>
      <c r="G274" s="0" t="str">
        <f aca="false">IF(B274="","",IFERROR(VLOOKUP(B274,Справочники!$A$4:$C$18,2,FALSE()),"нет в справочнике"))</f>
        <v>Доход</v>
      </c>
      <c r="H274" s="13" t="n">
        <f aca="false">IF(A274="","",DATE(YEAR(A274),MONTH(A274),1))</f>
        <v>45901</v>
      </c>
    </row>
    <row r="275" customFormat="false" ht="15" hidden="false" customHeight="false" outlineLevel="0" collapsed="false">
      <c r="A275" s="12" t="n">
        <v>45904</v>
      </c>
      <c r="B275" s="7" t="s">
        <v>33</v>
      </c>
      <c r="C275" s="7" t="s">
        <v>21</v>
      </c>
      <c r="D275" s="7" t="s">
        <v>22</v>
      </c>
      <c r="E275" s="8" t="n">
        <v>45200</v>
      </c>
      <c r="F275" s="7" t="s">
        <v>59</v>
      </c>
      <c r="G275" s="0" t="str">
        <f aca="false">IF(B275="","",IFERROR(VLOOKUP(B275,Справочники!$A$4:$C$18,2,FALSE()),"нет в справочнике"))</f>
        <v>Расход</v>
      </c>
      <c r="H275" s="13" t="n">
        <f aca="false">IF(A275="","",DATE(YEAR(A275),MONTH(A275),1))</f>
        <v>45901</v>
      </c>
    </row>
    <row r="276" customFormat="false" ht="15" hidden="false" customHeight="false" outlineLevel="0" collapsed="false">
      <c r="A276" s="12" t="n">
        <v>45905</v>
      </c>
      <c r="B276" s="7" t="s">
        <v>18</v>
      </c>
      <c r="C276" s="7" t="s">
        <v>21</v>
      </c>
      <c r="D276" s="7" t="s">
        <v>22</v>
      </c>
      <c r="E276" s="8" t="n">
        <v>270500</v>
      </c>
      <c r="F276" s="7" t="s">
        <v>146</v>
      </c>
      <c r="G276" s="0" t="str">
        <f aca="false">IF(B276="","",IFERROR(VLOOKUP(B276,Справочники!$A$4:$C$18,2,FALSE()),"нет в справочнике"))</f>
        <v>Доход</v>
      </c>
      <c r="H276" s="13" t="n">
        <f aca="false">IF(A276="","",DATE(YEAR(A276),MONTH(A276),1))</f>
        <v>45901</v>
      </c>
    </row>
    <row r="277" customFormat="false" ht="15" hidden="false" customHeight="false" outlineLevel="0" collapsed="false">
      <c r="A277" s="12" t="n">
        <v>45905</v>
      </c>
      <c r="B277" s="7" t="s">
        <v>37</v>
      </c>
      <c r="C277" s="7" t="s">
        <v>29</v>
      </c>
      <c r="D277" s="7" t="s">
        <v>22</v>
      </c>
      <c r="E277" s="8" t="n">
        <v>85000</v>
      </c>
      <c r="F277" s="7" t="s">
        <v>51</v>
      </c>
      <c r="G277" s="0" t="str">
        <f aca="false">IF(B277="","",IFERROR(VLOOKUP(B277,Справочники!$A$4:$C$18,2,FALSE()),"нет в справочнике"))</f>
        <v>Расход</v>
      </c>
      <c r="H277" s="13" t="n">
        <f aca="false">IF(A277="","",DATE(YEAR(A277),MONTH(A277),1))</f>
        <v>45901</v>
      </c>
    </row>
    <row r="278" customFormat="false" ht="15" hidden="false" customHeight="false" outlineLevel="0" collapsed="false">
      <c r="A278" s="12" t="n">
        <v>45906</v>
      </c>
      <c r="B278" s="7" t="s">
        <v>23</v>
      </c>
      <c r="C278" s="7" t="s">
        <v>24</v>
      </c>
      <c r="D278" s="7" t="s">
        <v>22</v>
      </c>
      <c r="E278" s="8" t="n">
        <v>148300</v>
      </c>
      <c r="F278" s="7" t="s">
        <v>147</v>
      </c>
      <c r="G278" s="0" t="str">
        <f aca="false">IF(B278="","",IFERROR(VLOOKUP(B278,Справочники!$A$4:$C$18,2,FALSE()),"нет в справочнике"))</f>
        <v>Доход</v>
      </c>
      <c r="H278" s="13" t="n">
        <f aca="false">IF(A278="","",DATE(YEAR(A278),MONTH(A278),1))</f>
        <v>45901</v>
      </c>
    </row>
    <row r="279" customFormat="false" ht="15" hidden="false" customHeight="false" outlineLevel="0" collapsed="false">
      <c r="A279" s="12" t="n">
        <v>45906</v>
      </c>
      <c r="B279" s="7" t="s">
        <v>26</v>
      </c>
      <c r="C279" s="7" t="s">
        <v>26</v>
      </c>
      <c r="D279" s="7" t="s">
        <v>27</v>
      </c>
      <c r="E279" s="8" t="n">
        <v>12200</v>
      </c>
      <c r="F279" s="7" t="s">
        <v>49</v>
      </c>
      <c r="G279" s="0" t="str">
        <f aca="false">IF(B279="","",IFERROR(VLOOKUP(B279,Справочники!$A$4:$C$18,2,FALSE()),"нет в справочнике"))</f>
        <v>Доход</v>
      </c>
      <c r="H279" s="13" t="n">
        <f aca="false">IF(A279="","",DATE(YEAR(A279),MONTH(A279),1))</f>
        <v>45901</v>
      </c>
    </row>
    <row r="280" customFormat="false" ht="15" hidden="false" customHeight="false" outlineLevel="0" collapsed="false">
      <c r="A280" s="12" t="n">
        <v>45906</v>
      </c>
      <c r="B280" s="7" t="s">
        <v>40</v>
      </c>
      <c r="C280" s="7" t="s">
        <v>29</v>
      </c>
      <c r="D280" s="7" t="s">
        <v>27</v>
      </c>
      <c r="E280" s="8" t="n">
        <v>13800</v>
      </c>
      <c r="F280" s="7" t="s">
        <v>66</v>
      </c>
      <c r="G280" s="0" t="str">
        <f aca="false">IF(B280="","",IFERROR(VLOOKUP(B280,Справочники!$A$4:$C$18,2,FALSE()),"нет в справочнике"))</f>
        <v>Расход</v>
      </c>
      <c r="H280" s="13" t="n">
        <f aca="false">IF(A280="","",DATE(YEAR(A280),MONTH(A280),1))</f>
        <v>45901</v>
      </c>
    </row>
    <row r="281" customFormat="false" ht="15" hidden="false" customHeight="false" outlineLevel="0" collapsed="false">
      <c r="A281" s="12" t="n">
        <v>45907</v>
      </c>
      <c r="B281" s="7" t="s">
        <v>23</v>
      </c>
      <c r="C281" s="7" t="s">
        <v>24</v>
      </c>
      <c r="D281" s="7" t="s">
        <v>27</v>
      </c>
      <c r="E281" s="8" t="n">
        <v>116900</v>
      </c>
      <c r="F281" s="7" t="s">
        <v>148</v>
      </c>
      <c r="G281" s="0" t="str">
        <f aca="false">IF(B281="","",IFERROR(VLOOKUP(B281,Справочники!$A$4:$C$18,2,FALSE()),"нет в справочнике"))</f>
        <v>Доход</v>
      </c>
      <c r="H281" s="13" t="n">
        <f aca="false">IF(A281="","",DATE(YEAR(A281),MONTH(A281),1))</f>
        <v>45901</v>
      </c>
    </row>
    <row r="282" customFormat="false" ht="15" hidden="false" customHeight="false" outlineLevel="0" collapsed="false">
      <c r="A282" s="12" t="n">
        <v>45910</v>
      </c>
      <c r="B282" s="7" t="s">
        <v>36</v>
      </c>
      <c r="C282" s="7" t="s">
        <v>29</v>
      </c>
      <c r="D282" s="7" t="s">
        <v>22</v>
      </c>
      <c r="E282" s="8" t="n">
        <v>210000</v>
      </c>
      <c r="F282" s="7" t="s">
        <v>57</v>
      </c>
      <c r="G282" s="0" t="str">
        <f aca="false">IF(B282="","",IFERROR(VLOOKUP(B282,Справочники!$A$4:$C$18,2,FALSE()),"нет в справочнике"))</f>
        <v>Расход</v>
      </c>
      <c r="H282" s="13" t="n">
        <f aca="false">IF(A282="","",DATE(YEAR(A282),MONTH(A282),1))</f>
        <v>45901</v>
      </c>
    </row>
    <row r="283" customFormat="false" ht="15" hidden="false" customHeight="false" outlineLevel="0" collapsed="false">
      <c r="A283" s="12" t="n">
        <v>45912</v>
      </c>
      <c r="B283" s="7" t="s">
        <v>28</v>
      </c>
      <c r="C283" s="7" t="s">
        <v>24</v>
      </c>
      <c r="D283" s="7" t="s">
        <v>22</v>
      </c>
      <c r="E283" s="8" t="n">
        <v>21400</v>
      </c>
      <c r="F283" s="7" t="s">
        <v>61</v>
      </c>
      <c r="G283" s="0" t="str">
        <f aca="false">IF(B283="","",IFERROR(VLOOKUP(B283,Справочники!$A$4:$C$18,2,FALSE()),"нет в справочнике"))</f>
        <v>Доход</v>
      </c>
      <c r="H283" s="13" t="n">
        <f aca="false">IF(A283="","",DATE(YEAR(A283),MONTH(A283),1))</f>
        <v>45901</v>
      </c>
    </row>
    <row r="284" customFormat="false" ht="15" hidden="false" customHeight="false" outlineLevel="0" collapsed="false">
      <c r="A284" s="12" t="n">
        <v>45912</v>
      </c>
      <c r="B284" s="7" t="s">
        <v>33</v>
      </c>
      <c r="C284" s="7" t="s">
        <v>26</v>
      </c>
      <c r="D284" s="7" t="s">
        <v>22</v>
      </c>
      <c r="E284" s="8" t="n">
        <v>54500</v>
      </c>
      <c r="F284" s="7" t="s">
        <v>59</v>
      </c>
      <c r="G284" s="0" t="str">
        <f aca="false">IF(B284="","",IFERROR(VLOOKUP(B284,Справочники!$A$4:$C$18,2,FALSE()),"нет в справочнике"))</f>
        <v>Расход</v>
      </c>
      <c r="H284" s="13" t="n">
        <f aca="false">IF(A284="","",DATE(YEAR(A284),MONTH(A284),1))</f>
        <v>45901</v>
      </c>
    </row>
    <row r="285" customFormat="false" ht="15" hidden="false" customHeight="false" outlineLevel="0" collapsed="false">
      <c r="A285" s="12" t="n">
        <v>45913</v>
      </c>
      <c r="B285" s="7" t="s">
        <v>18</v>
      </c>
      <c r="C285" s="7" t="s">
        <v>21</v>
      </c>
      <c r="D285" s="7" t="s">
        <v>22</v>
      </c>
      <c r="E285" s="8" t="n">
        <v>195500</v>
      </c>
      <c r="F285" s="7" t="s">
        <v>149</v>
      </c>
      <c r="G285" s="0" t="str">
        <f aca="false">IF(B285="","",IFERROR(VLOOKUP(B285,Справочники!$A$4:$C$18,2,FALSE()),"нет в справочнике"))</f>
        <v>Доход</v>
      </c>
      <c r="H285" s="13" t="n">
        <f aca="false">IF(A285="","",DATE(YEAR(A285),MONTH(A285),1))</f>
        <v>45901</v>
      </c>
    </row>
    <row r="286" customFormat="false" ht="15" hidden="false" customHeight="false" outlineLevel="0" collapsed="false">
      <c r="A286" s="12" t="n">
        <v>45915</v>
      </c>
      <c r="B286" s="7" t="s">
        <v>38</v>
      </c>
      <c r="C286" s="7" t="s">
        <v>29</v>
      </c>
      <c r="D286" s="7" t="s">
        <v>22</v>
      </c>
      <c r="E286" s="8" t="n">
        <v>19700</v>
      </c>
      <c r="F286" s="7" t="s">
        <v>63</v>
      </c>
      <c r="G286" s="0" t="str">
        <f aca="false">IF(B286="","",IFERROR(VLOOKUP(B286,Справочники!$A$4:$C$18,2,FALSE()),"нет в справочнике"))</f>
        <v>Расход</v>
      </c>
      <c r="H286" s="13" t="n">
        <f aca="false">IF(A286="","",DATE(YEAR(A286),MONTH(A286),1))</f>
        <v>45901</v>
      </c>
    </row>
    <row r="287" customFormat="false" ht="15" hidden="false" customHeight="false" outlineLevel="0" collapsed="false">
      <c r="A287" s="12" t="n">
        <v>45918</v>
      </c>
      <c r="B287" s="7" t="s">
        <v>26</v>
      </c>
      <c r="C287" s="7" t="s">
        <v>26</v>
      </c>
      <c r="D287" s="7" t="s">
        <v>25</v>
      </c>
      <c r="E287" s="8" t="n">
        <v>21000</v>
      </c>
      <c r="F287" s="7" t="s">
        <v>49</v>
      </c>
      <c r="G287" s="0" t="str">
        <f aca="false">IF(B287="","",IFERROR(VLOOKUP(B287,Справочники!$A$4:$C$18,2,FALSE()),"нет в справочнике"))</f>
        <v>Доход</v>
      </c>
      <c r="H287" s="13" t="n">
        <f aca="false">IF(A287="","",DATE(YEAR(A287),MONTH(A287),1))</f>
        <v>45901</v>
      </c>
    </row>
    <row r="288" customFormat="false" ht="15" hidden="false" customHeight="false" outlineLevel="0" collapsed="false">
      <c r="A288" s="12" t="n">
        <v>45919</v>
      </c>
      <c r="B288" s="7" t="s">
        <v>31</v>
      </c>
      <c r="C288" s="7" t="s">
        <v>21</v>
      </c>
      <c r="D288" s="7" t="s">
        <v>22</v>
      </c>
      <c r="E288" s="8" t="n">
        <v>187100</v>
      </c>
      <c r="F288" s="7" t="s">
        <v>56</v>
      </c>
      <c r="G288" s="0" t="str">
        <f aca="false">IF(B288="","",IFERROR(VLOOKUP(B288,Справочники!$A$4:$C$18,2,FALSE()),"нет в справочнике"))</f>
        <v>Расход</v>
      </c>
      <c r="H288" s="13" t="n">
        <f aca="false">IF(A288="","",DATE(YEAR(A288),MONTH(A288),1))</f>
        <v>45901</v>
      </c>
    </row>
    <row r="289" customFormat="false" ht="15" hidden="false" customHeight="false" outlineLevel="0" collapsed="false">
      <c r="A289" s="12" t="n">
        <v>45920</v>
      </c>
      <c r="B289" s="7" t="s">
        <v>18</v>
      </c>
      <c r="C289" s="7" t="s">
        <v>21</v>
      </c>
      <c r="D289" s="7" t="s">
        <v>22</v>
      </c>
      <c r="E289" s="8" t="n">
        <v>232300</v>
      </c>
      <c r="F289" s="7" t="s">
        <v>150</v>
      </c>
      <c r="G289" s="0" t="str">
        <f aca="false">IF(B289="","",IFERROR(VLOOKUP(B289,Справочники!$A$4:$C$18,2,FALSE()),"нет в справочнике"))</f>
        <v>Доход</v>
      </c>
      <c r="H289" s="13" t="n">
        <f aca="false">IF(A289="","",DATE(YEAR(A289),MONTH(A289),1))</f>
        <v>45901</v>
      </c>
    </row>
    <row r="290" customFormat="false" ht="15" hidden="false" customHeight="false" outlineLevel="0" collapsed="false">
      <c r="A290" s="12" t="n">
        <v>45920</v>
      </c>
      <c r="B290" s="7" t="s">
        <v>41</v>
      </c>
      <c r="C290" s="7" t="s">
        <v>29</v>
      </c>
      <c r="D290" s="7" t="s">
        <v>22</v>
      </c>
      <c r="E290" s="8" t="n">
        <v>12500</v>
      </c>
      <c r="F290" s="7" t="s">
        <v>67</v>
      </c>
      <c r="G290" s="0" t="str">
        <f aca="false">IF(B290="","",IFERROR(VLOOKUP(B290,Справочники!$A$4:$C$18,2,FALSE()),"нет в справочнике"))</f>
        <v>Расход</v>
      </c>
      <c r="H290" s="13" t="n">
        <f aca="false">IF(A290="","",DATE(YEAR(A290),MONTH(A290),1))</f>
        <v>45901</v>
      </c>
    </row>
    <row r="291" customFormat="false" ht="15" hidden="false" customHeight="false" outlineLevel="0" collapsed="false">
      <c r="A291" s="12" t="n">
        <v>45921</v>
      </c>
      <c r="B291" s="7" t="s">
        <v>18</v>
      </c>
      <c r="C291" s="7" t="s">
        <v>21</v>
      </c>
      <c r="D291" s="7" t="s">
        <v>22</v>
      </c>
      <c r="E291" s="8" t="n">
        <v>233400</v>
      </c>
      <c r="F291" s="7" t="s">
        <v>151</v>
      </c>
      <c r="G291" s="0" t="str">
        <f aca="false">IF(B291="","",IFERROR(VLOOKUP(B291,Справочники!$A$4:$C$18,2,FALSE()),"нет в справочнике"))</f>
        <v>Доход</v>
      </c>
      <c r="H291" s="13" t="n">
        <f aca="false">IF(A291="","",DATE(YEAR(A291),MONTH(A291),1))</f>
        <v>45901</v>
      </c>
    </row>
    <row r="292" customFormat="false" ht="15" hidden="false" customHeight="false" outlineLevel="0" collapsed="false">
      <c r="A292" s="12" t="n">
        <v>45921</v>
      </c>
      <c r="B292" s="7" t="s">
        <v>26</v>
      </c>
      <c r="C292" s="7" t="s">
        <v>26</v>
      </c>
      <c r="D292" s="7" t="s">
        <v>25</v>
      </c>
      <c r="E292" s="8" t="n">
        <v>12700</v>
      </c>
      <c r="F292" s="7" t="s">
        <v>49</v>
      </c>
      <c r="G292" s="0" t="str">
        <f aca="false">IF(B292="","",IFERROR(VLOOKUP(B292,Справочники!$A$4:$C$18,2,FALSE()),"нет в справочнике"))</f>
        <v>Доход</v>
      </c>
      <c r="H292" s="13" t="n">
        <f aca="false">IF(A292="","",DATE(YEAR(A292),MONTH(A292),1))</f>
        <v>45901</v>
      </c>
    </row>
    <row r="293" customFormat="false" ht="15" hidden="false" customHeight="false" outlineLevel="0" collapsed="false">
      <c r="A293" s="12" t="n">
        <v>45923</v>
      </c>
      <c r="B293" s="7" t="s">
        <v>33</v>
      </c>
      <c r="C293" s="7" t="s">
        <v>21</v>
      </c>
      <c r="D293" s="7" t="s">
        <v>22</v>
      </c>
      <c r="E293" s="8" t="n">
        <v>54900</v>
      </c>
      <c r="F293" s="7" t="s">
        <v>59</v>
      </c>
      <c r="G293" s="0" t="str">
        <f aca="false">IF(B293="","",IFERROR(VLOOKUP(B293,Справочники!$A$4:$C$18,2,FALSE()),"нет в справочнике"))</f>
        <v>Расход</v>
      </c>
      <c r="H293" s="13" t="n">
        <f aca="false">IF(A293="","",DATE(YEAR(A293),MONTH(A293),1))</f>
        <v>45901</v>
      </c>
    </row>
    <row r="294" customFormat="false" ht="15" hidden="false" customHeight="false" outlineLevel="0" collapsed="false">
      <c r="A294" s="12" t="n">
        <v>45924</v>
      </c>
      <c r="B294" s="7" t="s">
        <v>31</v>
      </c>
      <c r="C294" s="7" t="s">
        <v>21</v>
      </c>
      <c r="D294" s="7" t="s">
        <v>22</v>
      </c>
      <c r="E294" s="8" t="n">
        <v>204700</v>
      </c>
      <c r="F294" s="7" t="s">
        <v>56</v>
      </c>
      <c r="G294" s="0" t="str">
        <f aca="false">IF(B294="","",IFERROR(VLOOKUP(B294,Справочники!$A$4:$C$18,2,FALSE()),"нет в справочнике"))</f>
        <v>Расход</v>
      </c>
      <c r="H294" s="13" t="n">
        <f aca="false">IF(A294="","",DATE(YEAR(A294),MONTH(A294),1))</f>
        <v>45901</v>
      </c>
    </row>
    <row r="295" customFormat="false" ht="15" hidden="false" customHeight="false" outlineLevel="0" collapsed="false">
      <c r="A295" s="12" t="n">
        <v>45924</v>
      </c>
      <c r="B295" s="7" t="s">
        <v>31</v>
      </c>
      <c r="C295" s="7" t="s">
        <v>21</v>
      </c>
      <c r="D295" s="7" t="s">
        <v>22</v>
      </c>
      <c r="E295" s="8" t="n">
        <v>192900</v>
      </c>
      <c r="F295" s="7" t="s">
        <v>56</v>
      </c>
      <c r="G295" s="0" t="str">
        <f aca="false">IF(B295="","",IFERROR(VLOOKUP(B295,Справочники!$A$4:$C$18,2,FALSE()),"нет в справочнике"))</f>
        <v>Расход</v>
      </c>
      <c r="H295" s="13" t="n">
        <f aca="false">IF(A295="","",DATE(YEAR(A295),MONTH(A295),1))</f>
        <v>45901</v>
      </c>
    </row>
    <row r="296" customFormat="false" ht="15" hidden="false" customHeight="false" outlineLevel="0" collapsed="false">
      <c r="A296" s="12" t="n">
        <v>45925</v>
      </c>
      <c r="B296" s="7" t="s">
        <v>35</v>
      </c>
      <c r="C296" s="7" t="s">
        <v>24</v>
      </c>
      <c r="D296" s="7" t="s">
        <v>27</v>
      </c>
      <c r="E296" s="8" t="n">
        <v>50400</v>
      </c>
      <c r="F296" s="7" t="s">
        <v>55</v>
      </c>
      <c r="G296" s="0" t="str">
        <f aca="false">IF(B296="","",IFERROR(VLOOKUP(B296,Справочники!$A$4:$C$18,2,FALSE()),"нет в справочнике"))</f>
        <v>Расход</v>
      </c>
      <c r="H296" s="13" t="n">
        <f aca="false">IF(A296="","",DATE(YEAR(A296),MONTH(A296),1))</f>
        <v>45901</v>
      </c>
    </row>
    <row r="297" customFormat="false" ht="15" hidden="false" customHeight="false" outlineLevel="0" collapsed="false">
      <c r="A297" s="12" t="n">
        <v>45926</v>
      </c>
      <c r="B297" s="7" t="s">
        <v>26</v>
      </c>
      <c r="C297" s="7" t="s">
        <v>26</v>
      </c>
      <c r="D297" s="7" t="s">
        <v>27</v>
      </c>
      <c r="E297" s="8" t="n">
        <v>23900</v>
      </c>
      <c r="F297" s="7" t="s">
        <v>49</v>
      </c>
      <c r="G297" s="0" t="str">
        <f aca="false">IF(B297="","",IFERROR(VLOOKUP(B297,Справочники!$A$4:$C$18,2,FALSE()),"нет в справочнике"))</f>
        <v>Доход</v>
      </c>
      <c r="H297" s="13" t="n">
        <f aca="false">IF(A297="","",DATE(YEAR(A297),MONTH(A297),1))</f>
        <v>45901</v>
      </c>
    </row>
    <row r="298" customFormat="false" ht="15" hidden="false" customHeight="false" outlineLevel="0" collapsed="false">
      <c r="A298" s="12" t="n">
        <v>45928</v>
      </c>
      <c r="B298" s="7" t="s">
        <v>34</v>
      </c>
      <c r="C298" s="7" t="s">
        <v>21</v>
      </c>
      <c r="D298" s="7" t="s">
        <v>22</v>
      </c>
      <c r="E298" s="8" t="n">
        <v>200100</v>
      </c>
      <c r="F298" s="7" t="s">
        <v>68</v>
      </c>
      <c r="G298" s="0" t="str">
        <f aca="false">IF(B298="","",IFERROR(VLOOKUP(B298,Справочники!$A$4:$C$18,2,FALSE()),"нет в справочнике"))</f>
        <v>Расход</v>
      </c>
      <c r="H298" s="13" t="n">
        <f aca="false">IF(A298="","",DATE(YEAR(A298),MONTH(A298),1))</f>
        <v>45901</v>
      </c>
    </row>
    <row r="299" customFormat="false" ht="15" hidden="false" customHeight="false" outlineLevel="0" collapsed="false">
      <c r="A299" s="12" t="n">
        <v>45930</v>
      </c>
      <c r="B299" s="7" t="s">
        <v>18</v>
      </c>
      <c r="C299" s="7" t="s">
        <v>21</v>
      </c>
      <c r="D299" s="7" t="s">
        <v>22</v>
      </c>
      <c r="E299" s="8" t="n">
        <v>236700</v>
      </c>
      <c r="F299" s="7" t="s">
        <v>152</v>
      </c>
      <c r="G299" s="0" t="str">
        <f aca="false">IF(B299="","",IFERROR(VLOOKUP(B299,Справочники!$A$4:$C$18,2,FALSE()),"нет в справочнике"))</f>
        <v>Доход</v>
      </c>
      <c r="H299" s="13" t="n">
        <f aca="false">IF(A299="","",DATE(YEAR(A299),MONTH(A299),1))</f>
        <v>45901</v>
      </c>
    </row>
    <row r="300" customFormat="false" ht="15" hidden="false" customHeight="false" outlineLevel="0" collapsed="false">
      <c r="A300" s="12" t="n">
        <v>45931</v>
      </c>
      <c r="B300" s="7" t="s">
        <v>23</v>
      </c>
      <c r="C300" s="7" t="s">
        <v>24</v>
      </c>
      <c r="D300" s="7" t="s">
        <v>22</v>
      </c>
      <c r="E300" s="8" t="n">
        <v>108800</v>
      </c>
      <c r="F300" s="7" t="s">
        <v>153</v>
      </c>
      <c r="G300" s="0" t="str">
        <f aca="false">IF(B300="","",IFERROR(VLOOKUP(B300,Справочники!$A$4:$C$18,2,FALSE()),"нет в справочнике"))</f>
        <v>Доход</v>
      </c>
      <c r="H300" s="13" t="n">
        <f aca="false">IF(A300="","",DATE(YEAR(A300),MONTH(A300),1))</f>
        <v>45931</v>
      </c>
    </row>
    <row r="301" customFormat="false" ht="15" hidden="false" customHeight="false" outlineLevel="0" collapsed="false">
      <c r="A301" s="12" t="n">
        <v>45932</v>
      </c>
      <c r="B301" s="7" t="s">
        <v>31</v>
      </c>
      <c r="C301" s="7" t="s">
        <v>24</v>
      </c>
      <c r="D301" s="7" t="s">
        <v>22</v>
      </c>
      <c r="E301" s="8" t="n">
        <v>163900</v>
      </c>
      <c r="F301" s="7" t="s">
        <v>56</v>
      </c>
      <c r="G301" s="0" t="str">
        <f aca="false">IF(B301="","",IFERROR(VLOOKUP(B301,Справочники!$A$4:$C$18,2,FALSE()),"нет в справочнике"))</f>
        <v>Расход</v>
      </c>
      <c r="H301" s="13" t="n">
        <f aca="false">IF(A301="","",DATE(YEAR(A301),MONTH(A301),1))</f>
        <v>45931</v>
      </c>
    </row>
    <row r="302" customFormat="false" ht="15" hidden="false" customHeight="false" outlineLevel="0" collapsed="false">
      <c r="A302" s="12" t="n">
        <v>45933</v>
      </c>
      <c r="B302" s="7" t="s">
        <v>33</v>
      </c>
      <c r="C302" s="7" t="s">
        <v>21</v>
      </c>
      <c r="D302" s="7" t="s">
        <v>22</v>
      </c>
      <c r="E302" s="8" t="n">
        <v>84100</v>
      </c>
      <c r="F302" s="7" t="s">
        <v>59</v>
      </c>
      <c r="G302" s="0" t="str">
        <f aca="false">IF(B302="","",IFERROR(VLOOKUP(B302,Справочники!$A$4:$C$18,2,FALSE()),"нет в справочнике"))</f>
        <v>Расход</v>
      </c>
      <c r="H302" s="13" t="n">
        <f aca="false">IF(A302="","",DATE(YEAR(A302),MONTH(A302),1))</f>
        <v>45931</v>
      </c>
    </row>
    <row r="303" customFormat="false" ht="15" hidden="false" customHeight="false" outlineLevel="0" collapsed="false">
      <c r="A303" s="12" t="n">
        <v>45934</v>
      </c>
      <c r="B303" s="7" t="s">
        <v>28</v>
      </c>
      <c r="C303" s="7" t="s">
        <v>21</v>
      </c>
      <c r="D303" s="7" t="s">
        <v>22</v>
      </c>
      <c r="E303" s="8" t="n">
        <v>15900</v>
      </c>
      <c r="F303" s="7" t="s">
        <v>61</v>
      </c>
      <c r="G303" s="0" t="str">
        <f aca="false">IF(B303="","",IFERROR(VLOOKUP(B303,Справочники!$A$4:$C$18,2,FALSE()),"нет в справочнике"))</f>
        <v>Доход</v>
      </c>
      <c r="H303" s="13" t="n">
        <f aca="false">IF(A303="","",DATE(YEAR(A303),MONTH(A303),1))</f>
        <v>45931</v>
      </c>
    </row>
    <row r="304" customFormat="false" ht="15" hidden="false" customHeight="false" outlineLevel="0" collapsed="false">
      <c r="A304" s="12" t="n">
        <v>45935</v>
      </c>
      <c r="B304" s="7" t="s">
        <v>31</v>
      </c>
      <c r="C304" s="7" t="s">
        <v>21</v>
      </c>
      <c r="D304" s="7" t="s">
        <v>22</v>
      </c>
      <c r="E304" s="8" t="n">
        <v>191400</v>
      </c>
      <c r="F304" s="7" t="s">
        <v>56</v>
      </c>
      <c r="G304" s="0" t="str">
        <f aca="false">IF(B304="","",IFERROR(VLOOKUP(B304,Справочники!$A$4:$C$18,2,FALSE()),"нет в справочнике"))</f>
        <v>Расход</v>
      </c>
      <c r="H304" s="13" t="n">
        <f aca="false">IF(A304="","",DATE(YEAR(A304),MONTH(A304),1))</f>
        <v>45931</v>
      </c>
    </row>
    <row r="305" customFormat="false" ht="15" hidden="false" customHeight="false" outlineLevel="0" collapsed="false">
      <c r="A305" s="12" t="n">
        <v>45935</v>
      </c>
      <c r="B305" s="7" t="s">
        <v>37</v>
      </c>
      <c r="C305" s="7" t="s">
        <v>29</v>
      </c>
      <c r="D305" s="7" t="s">
        <v>22</v>
      </c>
      <c r="E305" s="8" t="n">
        <v>85000</v>
      </c>
      <c r="F305" s="7" t="s">
        <v>51</v>
      </c>
      <c r="G305" s="0" t="str">
        <f aca="false">IF(B305="","",IFERROR(VLOOKUP(B305,Справочники!$A$4:$C$18,2,FALSE()),"нет в справочнике"))</f>
        <v>Расход</v>
      </c>
      <c r="H305" s="13" t="n">
        <f aca="false">IF(A305="","",DATE(YEAR(A305),MONTH(A305),1))</f>
        <v>45931</v>
      </c>
    </row>
    <row r="306" customFormat="false" ht="15" hidden="false" customHeight="false" outlineLevel="0" collapsed="false">
      <c r="A306" s="12" t="n">
        <v>45936</v>
      </c>
      <c r="B306" s="7" t="s">
        <v>18</v>
      </c>
      <c r="C306" s="7" t="s">
        <v>21</v>
      </c>
      <c r="D306" s="7" t="s">
        <v>22</v>
      </c>
      <c r="E306" s="8" t="n">
        <v>266200</v>
      </c>
      <c r="F306" s="7" t="s">
        <v>154</v>
      </c>
      <c r="G306" s="0" t="str">
        <f aca="false">IF(B306="","",IFERROR(VLOOKUP(B306,Справочники!$A$4:$C$18,2,FALSE()),"нет в справочнике"))</f>
        <v>Доход</v>
      </c>
      <c r="H306" s="13" t="n">
        <f aca="false">IF(A306="","",DATE(YEAR(A306),MONTH(A306),1))</f>
        <v>45931</v>
      </c>
    </row>
    <row r="307" customFormat="false" ht="15" hidden="false" customHeight="false" outlineLevel="0" collapsed="false">
      <c r="A307" s="12" t="n">
        <v>45936</v>
      </c>
      <c r="B307" s="7" t="s">
        <v>26</v>
      </c>
      <c r="C307" s="7" t="s">
        <v>26</v>
      </c>
      <c r="D307" s="7" t="s">
        <v>27</v>
      </c>
      <c r="E307" s="8" t="n">
        <v>21800</v>
      </c>
      <c r="F307" s="7" t="s">
        <v>49</v>
      </c>
      <c r="G307" s="0" t="str">
        <f aca="false">IF(B307="","",IFERROR(VLOOKUP(B307,Справочники!$A$4:$C$18,2,FALSE()),"нет в справочнике"))</f>
        <v>Доход</v>
      </c>
      <c r="H307" s="13" t="n">
        <f aca="false">IF(A307="","",DATE(YEAR(A307),MONTH(A307),1))</f>
        <v>45931</v>
      </c>
    </row>
    <row r="308" customFormat="false" ht="15" hidden="false" customHeight="false" outlineLevel="0" collapsed="false">
      <c r="A308" s="12" t="n">
        <v>45936</v>
      </c>
      <c r="B308" s="7" t="s">
        <v>28</v>
      </c>
      <c r="C308" s="7" t="s">
        <v>21</v>
      </c>
      <c r="D308" s="7" t="s">
        <v>22</v>
      </c>
      <c r="E308" s="8" t="n">
        <v>24700</v>
      </c>
      <c r="F308" s="7" t="s">
        <v>61</v>
      </c>
      <c r="G308" s="0" t="str">
        <f aca="false">IF(B308="","",IFERROR(VLOOKUP(B308,Справочники!$A$4:$C$18,2,FALSE()),"нет в справочнике"))</f>
        <v>Доход</v>
      </c>
      <c r="H308" s="13" t="n">
        <f aca="false">IF(A308="","",DATE(YEAR(A308),MONTH(A308),1))</f>
        <v>45931</v>
      </c>
    </row>
    <row r="309" customFormat="false" ht="15" hidden="false" customHeight="false" outlineLevel="0" collapsed="false">
      <c r="A309" s="12" t="n">
        <v>45937</v>
      </c>
      <c r="B309" s="7" t="s">
        <v>23</v>
      </c>
      <c r="C309" s="7" t="s">
        <v>24</v>
      </c>
      <c r="D309" s="7" t="s">
        <v>27</v>
      </c>
      <c r="E309" s="8" t="n">
        <v>75200</v>
      </c>
      <c r="F309" s="7" t="s">
        <v>155</v>
      </c>
      <c r="G309" s="0" t="str">
        <f aca="false">IF(B309="","",IFERROR(VLOOKUP(B309,Справочники!$A$4:$C$18,2,FALSE()),"нет в справочнике"))</f>
        <v>Доход</v>
      </c>
      <c r="H309" s="13" t="n">
        <f aca="false">IF(A309="","",DATE(YEAR(A309),MONTH(A309),1))</f>
        <v>45931</v>
      </c>
    </row>
    <row r="310" customFormat="false" ht="15" hidden="false" customHeight="false" outlineLevel="0" collapsed="false">
      <c r="A310" s="12" t="n">
        <v>45937</v>
      </c>
      <c r="B310" s="7" t="s">
        <v>26</v>
      </c>
      <c r="C310" s="7" t="s">
        <v>26</v>
      </c>
      <c r="D310" s="7" t="s">
        <v>25</v>
      </c>
      <c r="E310" s="8" t="n">
        <v>18000</v>
      </c>
      <c r="F310" s="7" t="s">
        <v>49</v>
      </c>
      <c r="G310" s="0" t="str">
        <f aca="false">IF(B310="","",IFERROR(VLOOKUP(B310,Справочники!$A$4:$C$18,2,FALSE()),"нет в справочнике"))</f>
        <v>Доход</v>
      </c>
      <c r="H310" s="13" t="n">
        <f aca="false">IF(A310="","",DATE(YEAR(A310),MONTH(A310),1))</f>
        <v>45931</v>
      </c>
    </row>
    <row r="311" customFormat="false" ht="15" hidden="false" customHeight="false" outlineLevel="0" collapsed="false">
      <c r="A311" s="12" t="n">
        <v>45937</v>
      </c>
      <c r="B311" s="7" t="s">
        <v>26</v>
      </c>
      <c r="C311" s="7" t="s">
        <v>26</v>
      </c>
      <c r="D311" s="7" t="s">
        <v>25</v>
      </c>
      <c r="E311" s="8" t="n">
        <v>23200</v>
      </c>
      <c r="F311" s="7" t="s">
        <v>49</v>
      </c>
      <c r="G311" s="0" t="str">
        <f aca="false">IF(B311="","",IFERROR(VLOOKUP(B311,Справочники!$A$4:$C$18,2,FALSE()),"нет в справочнике"))</f>
        <v>Доход</v>
      </c>
      <c r="H311" s="13" t="n">
        <f aca="false">IF(A311="","",DATE(YEAR(A311),MONTH(A311),1))</f>
        <v>45931</v>
      </c>
    </row>
    <row r="312" customFormat="false" ht="15" hidden="false" customHeight="false" outlineLevel="0" collapsed="false">
      <c r="A312" s="12" t="n">
        <v>45938</v>
      </c>
      <c r="B312" s="7" t="s">
        <v>26</v>
      </c>
      <c r="C312" s="7" t="s">
        <v>26</v>
      </c>
      <c r="D312" s="7" t="s">
        <v>27</v>
      </c>
      <c r="E312" s="8" t="n">
        <v>32500</v>
      </c>
      <c r="F312" s="7" t="s">
        <v>49</v>
      </c>
      <c r="G312" s="0" t="str">
        <f aca="false">IF(B312="","",IFERROR(VLOOKUP(B312,Справочники!$A$4:$C$18,2,FALSE()),"нет в справочнике"))</f>
        <v>Доход</v>
      </c>
      <c r="H312" s="13" t="n">
        <f aca="false">IF(A312="","",DATE(YEAR(A312),MONTH(A312),1))</f>
        <v>45931</v>
      </c>
    </row>
    <row r="313" customFormat="false" ht="15" hidden="false" customHeight="false" outlineLevel="0" collapsed="false">
      <c r="A313" s="12" t="n">
        <v>45940</v>
      </c>
      <c r="B313" s="7" t="s">
        <v>23</v>
      </c>
      <c r="C313" s="7" t="s">
        <v>24</v>
      </c>
      <c r="D313" s="7" t="s">
        <v>22</v>
      </c>
      <c r="E313" s="8" t="n">
        <v>106200</v>
      </c>
      <c r="F313" s="7" t="s">
        <v>156</v>
      </c>
      <c r="G313" s="0" t="str">
        <f aca="false">IF(B313="","",IFERROR(VLOOKUP(B313,Справочники!$A$4:$C$18,2,FALSE()),"нет в справочнике"))</f>
        <v>Доход</v>
      </c>
      <c r="H313" s="13" t="n">
        <f aca="false">IF(A313="","",DATE(YEAR(A313),MONTH(A313),1))</f>
        <v>45931</v>
      </c>
    </row>
    <row r="314" customFormat="false" ht="15" hidden="false" customHeight="false" outlineLevel="0" collapsed="false">
      <c r="A314" s="12" t="n">
        <v>45940</v>
      </c>
      <c r="B314" s="7" t="s">
        <v>36</v>
      </c>
      <c r="C314" s="7" t="s">
        <v>29</v>
      </c>
      <c r="D314" s="7" t="s">
        <v>22</v>
      </c>
      <c r="E314" s="8" t="n">
        <v>210000</v>
      </c>
      <c r="F314" s="7" t="s">
        <v>57</v>
      </c>
      <c r="G314" s="0" t="str">
        <f aca="false">IF(B314="","",IFERROR(VLOOKUP(B314,Справочники!$A$4:$C$18,2,FALSE()),"нет в справочнике"))</f>
        <v>Расход</v>
      </c>
      <c r="H314" s="13" t="n">
        <f aca="false">IF(A314="","",DATE(YEAR(A314),MONTH(A314),1))</f>
        <v>45931</v>
      </c>
    </row>
    <row r="315" customFormat="false" ht="15" hidden="false" customHeight="false" outlineLevel="0" collapsed="false">
      <c r="A315" s="12" t="n">
        <v>45941</v>
      </c>
      <c r="B315" s="7" t="s">
        <v>23</v>
      </c>
      <c r="C315" s="7" t="s">
        <v>24</v>
      </c>
      <c r="D315" s="7" t="s">
        <v>22</v>
      </c>
      <c r="E315" s="8" t="n">
        <v>114200</v>
      </c>
      <c r="F315" s="7" t="s">
        <v>157</v>
      </c>
      <c r="G315" s="0" t="str">
        <f aca="false">IF(B315="","",IFERROR(VLOOKUP(B315,Справочники!$A$4:$C$18,2,FALSE()),"нет в справочнике"))</f>
        <v>Доход</v>
      </c>
      <c r="H315" s="13" t="n">
        <f aca="false">IF(A315="","",DATE(YEAR(A315),MONTH(A315),1))</f>
        <v>45931</v>
      </c>
    </row>
    <row r="316" customFormat="false" ht="15" hidden="false" customHeight="false" outlineLevel="0" collapsed="false">
      <c r="A316" s="12" t="n">
        <v>45941</v>
      </c>
      <c r="B316" s="7" t="s">
        <v>31</v>
      </c>
      <c r="C316" s="7" t="s">
        <v>24</v>
      </c>
      <c r="D316" s="7" t="s">
        <v>22</v>
      </c>
      <c r="E316" s="8" t="n">
        <v>201900</v>
      </c>
      <c r="F316" s="7" t="s">
        <v>56</v>
      </c>
      <c r="G316" s="0" t="str">
        <f aca="false">IF(B316="","",IFERROR(VLOOKUP(B316,Справочники!$A$4:$C$18,2,FALSE()),"нет в справочнике"))</f>
        <v>Расход</v>
      </c>
      <c r="H316" s="13" t="n">
        <f aca="false">IF(A316="","",DATE(YEAR(A316),MONTH(A316),1))</f>
        <v>45931</v>
      </c>
    </row>
    <row r="317" customFormat="false" ht="15" hidden="false" customHeight="false" outlineLevel="0" collapsed="false">
      <c r="A317" s="12" t="n">
        <v>45942</v>
      </c>
      <c r="B317" s="7" t="s">
        <v>23</v>
      </c>
      <c r="C317" s="7" t="s">
        <v>24</v>
      </c>
      <c r="D317" s="7" t="s">
        <v>22</v>
      </c>
      <c r="E317" s="8" t="n">
        <v>121200</v>
      </c>
      <c r="F317" s="7" t="s">
        <v>158</v>
      </c>
      <c r="G317" s="0" t="str">
        <f aca="false">IF(B317="","",IFERROR(VLOOKUP(B317,Справочники!$A$4:$C$18,2,FALSE()),"нет в справочнике"))</f>
        <v>Доход</v>
      </c>
      <c r="H317" s="13" t="n">
        <f aca="false">IF(A317="","",DATE(YEAR(A317),MONTH(A317),1))</f>
        <v>45931</v>
      </c>
    </row>
    <row r="318" customFormat="false" ht="15" hidden="false" customHeight="false" outlineLevel="0" collapsed="false">
      <c r="A318" s="12" t="n">
        <v>45942</v>
      </c>
      <c r="B318" s="7" t="s">
        <v>26</v>
      </c>
      <c r="C318" s="7" t="s">
        <v>26</v>
      </c>
      <c r="D318" s="7" t="s">
        <v>25</v>
      </c>
      <c r="E318" s="8" t="n">
        <v>11900</v>
      </c>
      <c r="F318" s="7" t="s">
        <v>49</v>
      </c>
      <c r="G318" s="0" t="str">
        <f aca="false">IF(B318="","",IFERROR(VLOOKUP(B318,Справочники!$A$4:$C$18,2,FALSE()),"нет в справочнике"))</f>
        <v>Доход</v>
      </c>
      <c r="H318" s="13" t="n">
        <f aca="false">IF(A318="","",DATE(YEAR(A318),MONTH(A318),1))</f>
        <v>45931</v>
      </c>
    </row>
    <row r="319" customFormat="false" ht="15" hidden="false" customHeight="false" outlineLevel="0" collapsed="false">
      <c r="A319" s="12" t="n">
        <v>45943</v>
      </c>
      <c r="B319" s="7" t="s">
        <v>18</v>
      </c>
      <c r="C319" s="7" t="s">
        <v>21</v>
      </c>
      <c r="D319" s="7" t="s">
        <v>22</v>
      </c>
      <c r="E319" s="8" t="n">
        <v>312400</v>
      </c>
      <c r="F319" s="7" t="s">
        <v>159</v>
      </c>
      <c r="G319" s="0" t="str">
        <f aca="false">IF(B319="","",IFERROR(VLOOKUP(B319,Справочники!$A$4:$C$18,2,FALSE()),"нет в справочнике"))</f>
        <v>Доход</v>
      </c>
      <c r="H319" s="13" t="n">
        <f aca="false">IF(A319="","",DATE(YEAR(A319),MONTH(A319),1))</f>
        <v>45931</v>
      </c>
    </row>
    <row r="320" customFormat="false" ht="15" hidden="false" customHeight="false" outlineLevel="0" collapsed="false">
      <c r="A320" s="12" t="n">
        <v>45943</v>
      </c>
      <c r="B320" s="7" t="s">
        <v>18</v>
      </c>
      <c r="C320" s="7" t="s">
        <v>21</v>
      </c>
      <c r="D320" s="7" t="s">
        <v>22</v>
      </c>
      <c r="E320" s="8" t="n">
        <v>289800</v>
      </c>
      <c r="F320" s="7" t="s">
        <v>160</v>
      </c>
      <c r="G320" s="0" t="str">
        <f aca="false">IF(B320="","",IFERROR(VLOOKUP(B320,Справочники!$A$4:$C$18,2,FALSE()),"нет в справочнике"))</f>
        <v>Доход</v>
      </c>
      <c r="H320" s="13" t="n">
        <f aca="false">IF(A320="","",DATE(YEAR(A320),MONTH(A320),1))</f>
        <v>45931</v>
      </c>
    </row>
    <row r="321" customFormat="false" ht="15" hidden="false" customHeight="false" outlineLevel="0" collapsed="false">
      <c r="A321" s="12" t="n">
        <v>45943</v>
      </c>
      <c r="B321" s="7" t="s">
        <v>23</v>
      </c>
      <c r="C321" s="7" t="s">
        <v>24</v>
      </c>
      <c r="D321" s="7" t="s">
        <v>22</v>
      </c>
      <c r="E321" s="8" t="n">
        <v>137300</v>
      </c>
      <c r="F321" s="7" t="s">
        <v>161</v>
      </c>
      <c r="G321" s="0" t="str">
        <f aca="false">IF(B321="","",IFERROR(VLOOKUP(B321,Справочники!$A$4:$C$18,2,FALSE()),"нет в справочнике"))</f>
        <v>Доход</v>
      </c>
      <c r="H321" s="13" t="n">
        <f aca="false">IF(A321="","",DATE(YEAR(A321),MONTH(A321),1))</f>
        <v>45931</v>
      </c>
    </row>
    <row r="322" customFormat="false" ht="15" hidden="false" customHeight="false" outlineLevel="0" collapsed="false">
      <c r="A322" s="12" t="n">
        <v>45944</v>
      </c>
      <c r="B322" s="7" t="s">
        <v>23</v>
      </c>
      <c r="C322" s="7" t="s">
        <v>24</v>
      </c>
      <c r="D322" s="7" t="s">
        <v>22</v>
      </c>
      <c r="E322" s="8" t="n">
        <v>155300</v>
      </c>
      <c r="F322" s="7" t="s">
        <v>162</v>
      </c>
      <c r="G322" s="0" t="str">
        <f aca="false">IF(B322="","",IFERROR(VLOOKUP(B322,Справочники!$A$4:$C$18,2,FALSE()),"нет в справочнике"))</f>
        <v>Доход</v>
      </c>
      <c r="H322" s="13" t="n">
        <f aca="false">IF(A322="","",DATE(YEAR(A322),MONTH(A322),1))</f>
        <v>45931</v>
      </c>
    </row>
    <row r="323" customFormat="false" ht="15" hidden="false" customHeight="false" outlineLevel="0" collapsed="false">
      <c r="A323" s="12" t="n">
        <v>45945</v>
      </c>
      <c r="B323" s="7" t="s">
        <v>38</v>
      </c>
      <c r="C323" s="7" t="s">
        <v>29</v>
      </c>
      <c r="D323" s="7" t="s">
        <v>22</v>
      </c>
      <c r="E323" s="8" t="n">
        <v>22100</v>
      </c>
      <c r="F323" s="7" t="s">
        <v>63</v>
      </c>
      <c r="G323" s="0" t="str">
        <f aca="false">IF(B323="","",IFERROR(VLOOKUP(B323,Справочники!$A$4:$C$18,2,FALSE()),"нет в справочнике"))</f>
        <v>Расход</v>
      </c>
      <c r="H323" s="13" t="n">
        <f aca="false">IF(A323="","",DATE(YEAR(A323),MONTH(A323),1))</f>
        <v>45931</v>
      </c>
    </row>
    <row r="324" customFormat="false" ht="15" hidden="false" customHeight="false" outlineLevel="0" collapsed="false">
      <c r="A324" s="12" t="n">
        <v>45946</v>
      </c>
      <c r="B324" s="7" t="s">
        <v>35</v>
      </c>
      <c r="C324" s="7" t="s">
        <v>24</v>
      </c>
      <c r="D324" s="7" t="s">
        <v>27</v>
      </c>
      <c r="E324" s="8" t="n">
        <v>70700</v>
      </c>
      <c r="F324" s="7" t="s">
        <v>55</v>
      </c>
      <c r="G324" s="0" t="str">
        <f aca="false">IF(B324="","",IFERROR(VLOOKUP(B324,Справочники!$A$4:$C$18,2,FALSE()),"нет в справочнике"))</f>
        <v>Расход</v>
      </c>
      <c r="H324" s="13" t="n">
        <f aca="false">IF(A324="","",DATE(YEAR(A324),MONTH(A324),1))</f>
        <v>45931</v>
      </c>
    </row>
    <row r="325" customFormat="false" ht="15" hidden="false" customHeight="false" outlineLevel="0" collapsed="false">
      <c r="A325" s="12" t="n">
        <v>45948</v>
      </c>
      <c r="B325" s="7" t="s">
        <v>28</v>
      </c>
      <c r="C325" s="7" t="s">
        <v>24</v>
      </c>
      <c r="D325" s="7" t="s">
        <v>22</v>
      </c>
      <c r="E325" s="8" t="n">
        <v>26100</v>
      </c>
      <c r="F325" s="7" t="s">
        <v>61</v>
      </c>
      <c r="G325" s="0" t="str">
        <f aca="false">IF(B325="","",IFERROR(VLOOKUP(B325,Справочники!$A$4:$C$18,2,FALSE()),"нет в справочнике"))</f>
        <v>Доход</v>
      </c>
      <c r="H325" s="13" t="n">
        <f aca="false">IF(A325="","",DATE(YEAR(A325),MONTH(A325),1))</f>
        <v>45931</v>
      </c>
    </row>
    <row r="326" customFormat="false" ht="15" hidden="false" customHeight="false" outlineLevel="0" collapsed="false">
      <c r="A326" s="12" t="n">
        <v>45948</v>
      </c>
      <c r="B326" s="7" t="s">
        <v>33</v>
      </c>
      <c r="C326" s="7" t="s">
        <v>21</v>
      </c>
      <c r="D326" s="7" t="s">
        <v>22</v>
      </c>
      <c r="E326" s="8" t="n">
        <v>92400</v>
      </c>
      <c r="F326" s="7" t="s">
        <v>59</v>
      </c>
      <c r="G326" s="0" t="str">
        <f aca="false">IF(B326="","",IFERROR(VLOOKUP(B326,Справочники!$A$4:$C$18,2,FALSE()),"нет в справочнике"))</f>
        <v>Расход</v>
      </c>
      <c r="H326" s="13" t="n">
        <f aca="false">IF(A326="","",DATE(YEAR(A326),MONTH(A326),1))</f>
        <v>45931</v>
      </c>
    </row>
    <row r="327" customFormat="false" ht="15" hidden="false" customHeight="false" outlineLevel="0" collapsed="false">
      <c r="A327" s="12" t="n">
        <v>45950</v>
      </c>
      <c r="B327" s="7" t="s">
        <v>41</v>
      </c>
      <c r="C327" s="7" t="s">
        <v>29</v>
      </c>
      <c r="D327" s="7" t="s">
        <v>22</v>
      </c>
      <c r="E327" s="8" t="n">
        <v>12500</v>
      </c>
      <c r="F327" s="7" t="s">
        <v>67</v>
      </c>
      <c r="G327" s="0" t="str">
        <f aca="false">IF(B327="","",IFERROR(VLOOKUP(B327,Справочники!$A$4:$C$18,2,FALSE()),"нет в справочнике"))</f>
        <v>Расход</v>
      </c>
      <c r="H327" s="13" t="n">
        <f aca="false">IF(A327="","",DATE(YEAR(A327),MONTH(A327),1))</f>
        <v>45931</v>
      </c>
    </row>
    <row r="328" customFormat="false" ht="15" hidden="false" customHeight="false" outlineLevel="0" collapsed="false">
      <c r="A328" s="12" t="n">
        <v>45954</v>
      </c>
      <c r="B328" s="7" t="s">
        <v>28</v>
      </c>
      <c r="C328" s="7" t="s">
        <v>24</v>
      </c>
      <c r="D328" s="7" t="s">
        <v>22</v>
      </c>
      <c r="E328" s="8" t="n">
        <v>21000</v>
      </c>
      <c r="F328" s="7" t="s">
        <v>61</v>
      </c>
      <c r="G328" s="0" t="str">
        <f aca="false">IF(B328="","",IFERROR(VLOOKUP(B328,Справочники!$A$4:$C$18,2,FALSE()),"нет в справочнике"))</f>
        <v>Доход</v>
      </c>
      <c r="H328" s="13" t="n">
        <f aca="false">IF(A328="","",DATE(YEAR(A328),MONTH(A328),1))</f>
        <v>45931</v>
      </c>
    </row>
    <row r="329" customFormat="false" ht="15" hidden="false" customHeight="false" outlineLevel="0" collapsed="false">
      <c r="A329" s="12" t="n">
        <v>45955</v>
      </c>
      <c r="B329" s="7" t="s">
        <v>42</v>
      </c>
      <c r="C329" s="7" t="s">
        <v>29</v>
      </c>
      <c r="D329" s="7" t="s">
        <v>22</v>
      </c>
      <c r="E329" s="8" t="n">
        <v>312900</v>
      </c>
      <c r="F329" s="7" t="s">
        <v>99</v>
      </c>
      <c r="G329" s="0" t="str">
        <f aca="false">IF(B329="","",IFERROR(VLOOKUP(B329,Справочники!$A$4:$C$18,2,FALSE()),"нет в справочнике"))</f>
        <v>Расход</v>
      </c>
      <c r="H329" s="13" t="n">
        <f aca="false">IF(A329="","",DATE(YEAR(A329),MONTH(A329),1))</f>
        <v>45931</v>
      </c>
    </row>
    <row r="330" customFormat="false" ht="15" hidden="false" customHeight="false" outlineLevel="0" collapsed="false">
      <c r="A330" s="12" t="n">
        <v>45956</v>
      </c>
      <c r="B330" s="7" t="s">
        <v>26</v>
      </c>
      <c r="C330" s="7" t="s">
        <v>26</v>
      </c>
      <c r="D330" s="7" t="s">
        <v>25</v>
      </c>
      <c r="E330" s="8" t="n">
        <v>14400</v>
      </c>
      <c r="F330" s="7" t="s">
        <v>49</v>
      </c>
      <c r="G330" s="0" t="str">
        <f aca="false">IF(B330="","",IFERROR(VLOOKUP(B330,Справочники!$A$4:$C$18,2,FALSE()),"нет в справочнике"))</f>
        <v>Доход</v>
      </c>
      <c r="H330" s="13" t="n">
        <f aca="false">IF(A330="","",DATE(YEAR(A330),MONTH(A330),1))</f>
        <v>45931</v>
      </c>
    </row>
    <row r="331" customFormat="false" ht="15" hidden="false" customHeight="false" outlineLevel="0" collapsed="false">
      <c r="A331" s="12" t="n">
        <v>45958</v>
      </c>
      <c r="B331" s="7" t="s">
        <v>18</v>
      </c>
      <c r="C331" s="7" t="s">
        <v>21</v>
      </c>
      <c r="D331" s="7" t="s">
        <v>22</v>
      </c>
      <c r="E331" s="8" t="n">
        <v>276900</v>
      </c>
      <c r="F331" s="7" t="s">
        <v>163</v>
      </c>
      <c r="G331" s="0" t="str">
        <f aca="false">IF(B331="","",IFERROR(VLOOKUP(B331,Справочники!$A$4:$C$18,2,FALSE()),"нет в справочнике"))</f>
        <v>Доход</v>
      </c>
      <c r="H331" s="13" t="n">
        <f aca="false">IF(A331="","",DATE(YEAR(A331),MONTH(A331),1))</f>
        <v>45931</v>
      </c>
    </row>
    <row r="332" customFormat="false" ht="15" hidden="false" customHeight="false" outlineLevel="0" collapsed="false">
      <c r="A332" s="12" t="n">
        <v>45958</v>
      </c>
      <c r="B332" s="7" t="s">
        <v>28</v>
      </c>
      <c r="C332" s="7" t="s">
        <v>21</v>
      </c>
      <c r="D332" s="7" t="s">
        <v>22</v>
      </c>
      <c r="E332" s="8" t="n">
        <v>12100</v>
      </c>
      <c r="F332" s="7" t="s">
        <v>61</v>
      </c>
      <c r="G332" s="0" t="str">
        <f aca="false">IF(B332="","",IFERROR(VLOOKUP(B332,Справочники!$A$4:$C$18,2,FALSE()),"нет в справочнике"))</f>
        <v>Доход</v>
      </c>
      <c r="H332" s="13" t="n">
        <f aca="false">IF(A332="","",DATE(YEAR(A332),MONTH(A332),1))</f>
        <v>45931</v>
      </c>
    </row>
    <row r="333" customFormat="false" ht="15" hidden="false" customHeight="false" outlineLevel="0" collapsed="false">
      <c r="A333" s="12" t="n">
        <v>45958</v>
      </c>
      <c r="B333" s="7" t="s">
        <v>34</v>
      </c>
      <c r="C333" s="7" t="s">
        <v>21</v>
      </c>
      <c r="D333" s="7" t="s">
        <v>22</v>
      </c>
      <c r="E333" s="8" t="n">
        <v>260700</v>
      </c>
      <c r="F333" s="7" t="s">
        <v>68</v>
      </c>
      <c r="G333" s="0" t="str">
        <f aca="false">IF(B333="","",IFERROR(VLOOKUP(B333,Справочники!$A$4:$C$18,2,FALSE()),"нет в справочнике"))</f>
        <v>Расход</v>
      </c>
      <c r="H333" s="13" t="n">
        <f aca="false">IF(A333="","",DATE(YEAR(A333),MONTH(A333),1))</f>
        <v>45931</v>
      </c>
    </row>
    <row r="334" customFormat="false" ht="15" hidden="false" customHeight="false" outlineLevel="0" collapsed="false">
      <c r="A334" s="12" t="n">
        <v>45959</v>
      </c>
      <c r="B334" s="7" t="s">
        <v>18</v>
      </c>
      <c r="C334" s="7" t="s">
        <v>21</v>
      </c>
      <c r="D334" s="7" t="s">
        <v>22</v>
      </c>
      <c r="E334" s="8" t="n">
        <v>185100</v>
      </c>
      <c r="F334" s="7" t="s">
        <v>164</v>
      </c>
      <c r="G334" s="0" t="str">
        <f aca="false">IF(B334="","",IFERROR(VLOOKUP(B334,Справочники!$A$4:$C$18,2,FALSE()),"нет в справочнике"))</f>
        <v>Доход</v>
      </c>
      <c r="H334" s="13" t="n">
        <f aca="false">IF(A334="","",DATE(YEAR(A334),MONTH(A334),1))</f>
        <v>45931</v>
      </c>
    </row>
    <row r="335" customFormat="false" ht="15" hidden="false" customHeight="false" outlineLevel="0" collapsed="false">
      <c r="A335" s="12" t="n">
        <v>45959</v>
      </c>
      <c r="B335" s="7" t="s">
        <v>39</v>
      </c>
      <c r="C335" s="7" t="s">
        <v>29</v>
      </c>
      <c r="D335" s="7" t="s">
        <v>27</v>
      </c>
      <c r="E335" s="8" t="n">
        <v>26200</v>
      </c>
      <c r="F335" s="7" t="s">
        <v>53</v>
      </c>
      <c r="G335" s="0" t="str">
        <f aca="false">IF(B335="","",IFERROR(VLOOKUP(B335,Справочники!$A$4:$C$18,2,FALSE()),"нет в справочнике"))</f>
        <v>Расход</v>
      </c>
      <c r="H335" s="13" t="n">
        <f aca="false">IF(A335="","",DATE(YEAR(A335),MONTH(A335),1))</f>
        <v>45931</v>
      </c>
    </row>
    <row r="336" customFormat="false" ht="15" hidden="false" customHeight="false" outlineLevel="0" collapsed="false">
      <c r="A336" s="12" t="n">
        <v>45960</v>
      </c>
      <c r="B336" s="7" t="s">
        <v>31</v>
      </c>
      <c r="C336" s="7" t="s">
        <v>21</v>
      </c>
      <c r="D336" s="7" t="s">
        <v>22</v>
      </c>
      <c r="E336" s="8" t="n">
        <v>176400</v>
      </c>
      <c r="F336" s="7" t="s">
        <v>56</v>
      </c>
      <c r="G336" s="0" t="str">
        <f aca="false">IF(B336="","",IFERROR(VLOOKUP(B336,Справочники!$A$4:$C$18,2,FALSE()),"нет в справочнике"))</f>
        <v>Расход</v>
      </c>
      <c r="H336" s="13" t="n">
        <f aca="false">IF(A336="","",DATE(YEAR(A336),MONTH(A336),1))</f>
        <v>45931</v>
      </c>
    </row>
    <row r="337" customFormat="false" ht="15" hidden="false" customHeight="false" outlineLevel="0" collapsed="false">
      <c r="A337" s="12" t="n">
        <v>45962</v>
      </c>
      <c r="B337" s="7" t="s">
        <v>26</v>
      </c>
      <c r="C337" s="7" t="s">
        <v>26</v>
      </c>
      <c r="D337" s="7" t="s">
        <v>25</v>
      </c>
      <c r="E337" s="8" t="n">
        <v>38000</v>
      </c>
      <c r="F337" s="7" t="s">
        <v>49</v>
      </c>
      <c r="G337" s="0" t="str">
        <f aca="false">IF(B337="","",IFERROR(VLOOKUP(B337,Справочники!$A$4:$C$18,2,FALSE()),"нет в справочнике"))</f>
        <v>Доход</v>
      </c>
      <c r="H337" s="13" t="n">
        <f aca="false">IF(A337="","",DATE(YEAR(A337),MONTH(A337),1))</f>
        <v>45962</v>
      </c>
    </row>
    <row r="338" customFormat="false" ht="15" hidden="false" customHeight="false" outlineLevel="0" collapsed="false">
      <c r="A338" s="12" t="n">
        <v>45964</v>
      </c>
      <c r="B338" s="7" t="s">
        <v>26</v>
      </c>
      <c r="C338" s="7" t="s">
        <v>26</v>
      </c>
      <c r="D338" s="7" t="s">
        <v>25</v>
      </c>
      <c r="E338" s="8" t="n">
        <v>22800</v>
      </c>
      <c r="F338" s="7" t="s">
        <v>49</v>
      </c>
      <c r="G338" s="0" t="str">
        <f aca="false">IF(B338="","",IFERROR(VLOOKUP(B338,Справочники!$A$4:$C$18,2,FALSE()),"нет в справочнике"))</f>
        <v>Доход</v>
      </c>
      <c r="H338" s="13" t="n">
        <f aca="false">IF(A338="","",DATE(YEAR(A338),MONTH(A338),1))</f>
        <v>45962</v>
      </c>
    </row>
    <row r="339" customFormat="false" ht="15" hidden="false" customHeight="false" outlineLevel="0" collapsed="false">
      <c r="A339" s="12" t="n">
        <v>45966</v>
      </c>
      <c r="B339" s="7" t="s">
        <v>37</v>
      </c>
      <c r="C339" s="7" t="s">
        <v>29</v>
      </c>
      <c r="D339" s="7" t="s">
        <v>22</v>
      </c>
      <c r="E339" s="8" t="n">
        <v>85000</v>
      </c>
      <c r="F339" s="7" t="s">
        <v>51</v>
      </c>
      <c r="G339" s="0" t="str">
        <f aca="false">IF(B339="","",IFERROR(VLOOKUP(B339,Справочники!$A$4:$C$18,2,FALSE()),"нет в справочнике"))</f>
        <v>Расход</v>
      </c>
      <c r="H339" s="13" t="n">
        <f aca="false">IF(A339="","",DATE(YEAR(A339),MONTH(A339),1))</f>
        <v>45962</v>
      </c>
    </row>
    <row r="340" customFormat="false" ht="15" hidden="false" customHeight="false" outlineLevel="0" collapsed="false">
      <c r="A340" s="12" t="n">
        <v>45967</v>
      </c>
      <c r="B340" s="7" t="s">
        <v>23</v>
      </c>
      <c r="C340" s="7" t="s">
        <v>24</v>
      </c>
      <c r="D340" s="7" t="s">
        <v>22</v>
      </c>
      <c r="E340" s="8" t="n">
        <v>86100</v>
      </c>
      <c r="F340" s="7" t="s">
        <v>165</v>
      </c>
      <c r="G340" s="0" t="str">
        <f aca="false">IF(B340="","",IFERROR(VLOOKUP(B340,Справочники!$A$4:$C$18,2,FALSE()),"нет в справочнике"))</f>
        <v>Доход</v>
      </c>
      <c r="H340" s="13" t="n">
        <f aca="false">IF(A340="","",DATE(YEAR(A340),MONTH(A340),1))</f>
        <v>45962</v>
      </c>
    </row>
    <row r="341" customFormat="false" ht="15" hidden="false" customHeight="false" outlineLevel="0" collapsed="false">
      <c r="A341" s="12" t="n">
        <v>45967</v>
      </c>
      <c r="B341" s="7" t="s">
        <v>23</v>
      </c>
      <c r="C341" s="7" t="s">
        <v>24</v>
      </c>
      <c r="D341" s="7" t="s">
        <v>27</v>
      </c>
      <c r="E341" s="8" t="n">
        <v>113900</v>
      </c>
      <c r="F341" s="7" t="s">
        <v>166</v>
      </c>
      <c r="G341" s="0" t="str">
        <f aca="false">IF(B341="","",IFERROR(VLOOKUP(B341,Справочники!$A$4:$C$18,2,FALSE()),"нет в справочнике"))</f>
        <v>Доход</v>
      </c>
      <c r="H341" s="13" t="n">
        <f aca="false">IF(A341="","",DATE(YEAR(A341),MONTH(A341),1))</f>
        <v>45962</v>
      </c>
    </row>
    <row r="342" customFormat="false" ht="15" hidden="false" customHeight="false" outlineLevel="0" collapsed="false">
      <c r="A342" s="12" t="n">
        <v>45967</v>
      </c>
      <c r="B342" s="7" t="s">
        <v>26</v>
      </c>
      <c r="C342" s="7" t="s">
        <v>26</v>
      </c>
      <c r="D342" s="7" t="s">
        <v>27</v>
      </c>
      <c r="E342" s="8" t="n">
        <v>19600</v>
      </c>
      <c r="F342" s="7" t="s">
        <v>49</v>
      </c>
      <c r="G342" s="0" t="str">
        <f aca="false">IF(B342="","",IFERROR(VLOOKUP(B342,Справочники!$A$4:$C$18,2,FALSE()),"нет в справочнике"))</f>
        <v>Доход</v>
      </c>
      <c r="H342" s="13" t="n">
        <f aca="false">IF(A342="","",DATE(YEAR(A342),MONTH(A342),1))</f>
        <v>45962</v>
      </c>
    </row>
    <row r="343" customFormat="false" ht="15" hidden="false" customHeight="false" outlineLevel="0" collapsed="false">
      <c r="A343" s="12" t="n">
        <v>45967</v>
      </c>
      <c r="B343" s="7" t="s">
        <v>33</v>
      </c>
      <c r="C343" s="7" t="s">
        <v>21</v>
      </c>
      <c r="D343" s="7" t="s">
        <v>22</v>
      </c>
      <c r="E343" s="8" t="n">
        <v>58500</v>
      </c>
      <c r="F343" s="7" t="s">
        <v>59</v>
      </c>
      <c r="G343" s="0" t="str">
        <f aca="false">IF(B343="","",IFERROR(VLOOKUP(B343,Справочники!$A$4:$C$18,2,FALSE()),"нет в справочнике"))</f>
        <v>Расход</v>
      </c>
      <c r="H343" s="13" t="n">
        <f aca="false">IF(A343="","",DATE(YEAR(A343),MONTH(A343),1))</f>
        <v>45962</v>
      </c>
    </row>
    <row r="344" customFormat="false" ht="15" hidden="false" customHeight="false" outlineLevel="0" collapsed="false">
      <c r="A344" s="12" t="n">
        <v>45968</v>
      </c>
      <c r="B344" s="7" t="s">
        <v>28</v>
      </c>
      <c r="C344" s="7" t="s">
        <v>21</v>
      </c>
      <c r="D344" s="7" t="s">
        <v>22</v>
      </c>
      <c r="E344" s="8" t="n">
        <v>12000</v>
      </c>
      <c r="F344" s="7" t="s">
        <v>61</v>
      </c>
      <c r="G344" s="0" t="str">
        <f aca="false">IF(B344="","",IFERROR(VLOOKUP(B344,Справочники!$A$4:$C$18,2,FALSE()),"нет в справочнике"))</f>
        <v>Доход</v>
      </c>
      <c r="H344" s="13" t="n">
        <f aca="false">IF(A344="","",DATE(YEAR(A344),MONTH(A344),1))</f>
        <v>45962</v>
      </c>
    </row>
    <row r="345" customFormat="false" ht="15" hidden="false" customHeight="false" outlineLevel="0" collapsed="false">
      <c r="A345" s="12" t="n">
        <v>45968</v>
      </c>
      <c r="B345" s="7" t="s">
        <v>39</v>
      </c>
      <c r="C345" s="7" t="s">
        <v>29</v>
      </c>
      <c r="D345" s="7" t="s">
        <v>27</v>
      </c>
      <c r="E345" s="8" t="n">
        <v>38700</v>
      </c>
      <c r="F345" s="7" t="s">
        <v>53</v>
      </c>
      <c r="G345" s="0" t="str">
        <f aca="false">IF(B345="","",IFERROR(VLOOKUP(B345,Справочники!$A$4:$C$18,2,FALSE()),"нет в справочнике"))</f>
        <v>Расход</v>
      </c>
      <c r="H345" s="13" t="n">
        <f aca="false">IF(A345="","",DATE(YEAR(A345),MONTH(A345),1))</f>
        <v>45962</v>
      </c>
    </row>
    <row r="346" customFormat="false" ht="15" hidden="false" customHeight="false" outlineLevel="0" collapsed="false">
      <c r="A346" s="12" t="n">
        <v>45969</v>
      </c>
      <c r="B346" s="7" t="s">
        <v>26</v>
      </c>
      <c r="C346" s="7" t="s">
        <v>26</v>
      </c>
      <c r="D346" s="7" t="s">
        <v>27</v>
      </c>
      <c r="E346" s="8" t="n">
        <v>34900</v>
      </c>
      <c r="F346" s="7" t="s">
        <v>49</v>
      </c>
      <c r="G346" s="0" t="str">
        <f aca="false">IF(B346="","",IFERROR(VLOOKUP(B346,Справочники!$A$4:$C$18,2,FALSE()),"нет в справочнике"))</f>
        <v>Доход</v>
      </c>
      <c r="H346" s="13" t="n">
        <f aca="false">IF(A346="","",DATE(YEAR(A346),MONTH(A346),1))</f>
        <v>45962</v>
      </c>
    </row>
    <row r="347" customFormat="false" ht="15" hidden="false" customHeight="false" outlineLevel="0" collapsed="false">
      <c r="A347" s="12" t="n">
        <v>45969</v>
      </c>
      <c r="B347" s="7" t="s">
        <v>40</v>
      </c>
      <c r="C347" s="7" t="s">
        <v>29</v>
      </c>
      <c r="D347" s="7" t="s">
        <v>27</v>
      </c>
      <c r="E347" s="8" t="n">
        <v>9700</v>
      </c>
      <c r="F347" s="7" t="s">
        <v>66</v>
      </c>
      <c r="G347" s="0" t="str">
        <f aca="false">IF(B347="","",IFERROR(VLOOKUP(B347,Справочники!$A$4:$C$18,2,FALSE()),"нет в справочнике"))</f>
        <v>Расход</v>
      </c>
      <c r="H347" s="13" t="n">
        <f aca="false">IF(A347="","",DATE(YEAR(A347),MONTH(A347),1))</f>
        <v>45962</v>
      </c>
    </row>
    <row r="348" customFormat="false" ht="15" hidden="false" customHeight="false" outlineLevel="0" collapsed="false">
      <c r="A348" s="12" t="n">
        <v>45971</v>
      </c>
      <c r="B348" s="7" t="s">
        <v>36</v>
      </c>
      <c r="C348" s="7" t="s">
        <v>29</v>
      </c>
      <c r="D348" s="7" t="s">
        <v>22</v>
      </c>
      <c r="E348" s="8" t="n">
        <v>210000</v>
      </c>
      <c r="F348" s="7" t="s">
        <v>57</v>
      </c>
      <c r="G348" s="0" t="str">
        <f aca="false">IF(B348="","",IFERROR(VLOOKUP(B348,Справочники!$A$4:$C$18,2,FALSE()),"нет в справочнике"))</f>
        <v>Расход</v>
      </c>
      <c r="H348" s="13" t="n">
        <f aca="false">IF(A348="","",DATE(YEAR(A348),MONTH(A348),1))</f>
        <v>45962</v>
      </c>
    </row>
    <row r="349" customFormat="false" ht="15" hidden="false" customHeight="false" outlineLevel="0" collapsed="false">
      <c r="A349" s="12" t="n">
        <v>45972</v>
      </c>
      <c r="B349" s="7" t="s">
        <v>23</v>
      </c>
      <c r="C349" s="7" t="s">
        <v>24</v>
      </c>
      <c r="D349" s="7" t="s">
        <v>22</v>
      </c>
      <c r="E349" s="8" t="n">
        <v>146200</v>
      </c>
      <c r="F349" s="7" t="s">
        <v>167</v>
      </c>
      <c r="G349" s="0" t="str">
        <f aca="false">IF(B349="","",IFERROR(VLOOKUP(B349,Справочники!$A$4:$C$18,2,FALSE()),"нет в справочнике"))</f>
        <v>Доход</v>
      </c>
      <c r="H349" s="13" t="n">
        <f aca="false">IF(A349="","",DATE(YEAR(A349),MONTH(A349),1))</f>
        <v>45962</v>
      </c>
    </row>
    <row r="350" customFormat="false" ht="15" hidden="false" customHeight="false" outlineLevel="0" collapsed="false">
      <c r="A350" s="12" t="n">
        <v>45974</v>
      </c>
      <c r="B350" s="7" t="s">
        <v>18</v>
      </c>
      <c r="C350" s="7" t="s">
        <v>21</v>
      </c>
      <c r="D350" s="7" t="s">
        <v>22</v>
      </c>
      <c r="E350" s="8" t="n">
        <v>246800</v>
      </c>
      <c r="F350" s="7" t="s">
        <v>168</v>
      </c>
      <c r="G350" s="0" t="str">
        <f aca="false">IF(B350="","",IFERROR(VLOOKUP(B350,Справочники!$A$4:$C$18,2,FALSE()),"нет в справочнике"))</f>
        <v>Доход</v>
      </c>
      <c r="H350" s="13" t="n">
        <f aca="false">IF(A350="","",DATE(YEAR(A350),MONTH(A350),1))</f>
        <v>45962</v>
      </c>
    </row>
    <row r="351" customFormat="false" ht="15" hidden="false" customHeight="false" outlineLevel="0" collapsed="false">
      <c r="A351" s="12" t="n">
        <v>45974</v>
      </c>
      <c r="B351" s="7" t="s">
        <v>33</v>
      </c>
      <c r="C351" s="7" t="s">
        <v>21</v>
      </c>
      <c r="D351" s="7" t="s">
        <v>22</v>
      </c>
      <c r="E351" s="8" t="n">
        <v>67600</v>
      </c>
      <c r="F351" s="7" t="s">
        <v>59</v>
      </c>
      <c r="G351" s="0" t="str">
        <f aca="false">IF(B351="","",IFERROR(VLOOKUP(B351,Справочники!$A$4:$C$18,2,FALSE()),"нет в справочнике"))</f>
        <v>Расход</v>
      </c>
      <c r="H351" s="13" t="n">
        <f aca="false">IF(A351="","",DATE(YEAR(A351),MONTH(A351),1))</f>
        <v>45962</v>
      </c>
    </row>
    <row r="352" customFormat="false" ht="15" hidden="false" customHeight="false" outlineLevel="0" collapsed="false">
      <c r="A352" s="12" t="n">
        <v>45975</v>
      </c>
      <c r="B352" s="7" t="s">
        <v>26</v>
      </c>
      <c r="C352" s="7" t="s">
        <v>26</v>
      </c>
      <c r="D352" s="7" t="s">
        <v>27</v>
      </c>
      <c r="E352" s="8" t="n">
        <v>37300</v>
      </c>
      <c r="F352" s="7" t="s">
        <v>49</v>
      </c>
      <c r="G352" s="0" t="str">
        <f aca="false">IF(B352="","",IFERROR(VLOOKUP(B352,Справочники!$A$4:$C$18,2,FALSE()),"нет в справочнике"))</f>
        <v>Доход</v>
      </c>
      <c r="H352" s="13" t="n">
        <f aca="false">IF(A352="","",DATE(YEAR(A352),MONTH(A352),1))</f>
        <v>45962</v>
      </c>
    </row>
    <row r="353" customFormat="false" ht="15" hidden="false" customHeight="false" outlineLevel="0" collapsed="false">
      <c r="A353" s="12" t="n">
        <v>45976</v>
      </c>
      <c r="B353" s="7" t="s">
        <v>31</v>
      </c>
      <c r="C353" s="7" t="s">
        <v>24</v>
      </c>
      <c r="D353" s="7" t="s">
        <v>22</v>
      </c>
      <c r="E353" s="8" t="n">
        <v>310700</v>
      </c>
      <c r="F353" s="7" t="s">
        <v>56</v>
      </c>
      <c r="G353" s="0" t="str">
        <f aca="false">IF(B353="","",IFERROR(VLOOKUP(B353,Справочники!$A$4:$C$18,2,FALSE()),"нет в справочнике"))</f>
        <v>Расход</v>
      </c>
      <c r="H353" s="13" t="n">
        <f aca="false">IF(A353="","",DATE(YEAR(A353),MONTH(A353),1))</f>
        <v>45962</v>
      </c>
    </row>
    <row r="354" customFormat="false" ht="15" hidden="false" customHeight="false" outlineLevel="0" collapsed="false">
      <c r="A354" s="12" t="n">
        <v>45976</v>
      </c>
      <c r="B354" s="7" t="s">
        <v>38</v>
      </c>
      <c r="C354" s="7" t="s">
        <v>29</v>
      </c>
      <c r="D354" s="7" t="s">
        <v>22</v>
      </c>
      <c r="E354" s="8" t="n">
        <v>18500</v>
      </c>
      <c r="F354" s="7" t="s">
        <v>63</v>
      </c>
      <c r="G354" s="0" t="str">
        <f aca="false">IF(B354="","",IFERROR(VLOOKUP(B354,Справочники!$A$4:$C$18,2,FALSE()),"нет в справочнике"))</f>
        <v>Расход</v>
      </c>
      <c r="H354" s="13" t="n">
        <f aca="false">IF(A354="","",DATE(YEAR(A354),MONTH(A354),1))</f>
        <v>45962</v>
      </c>
    </row>
    <row r="355" customFormat="false" ht="15" hidden="false" customHeight="false" outlineLevel="0" collapsed="false">
      <c r="A355" s="12" t="n">
        <v>45977</v>
      </c>
      <c r="B355" s="7" t="s">
        <v>18</v>
      </c>
      <c r="C355" s="7" t="s">
        <v>21</v>
      </c>
      <c r="D355" s="7" t="s">
        <v>22</v>
      </c>
      <c r="E355" s="8" t="n">
        <v>261400</v>
      </c>
      <c r="F355" s="7" t="s">
        <v>169</v>
      </c>
      <c r="G355" s="0" t="str">
        <f aca="false">IF(B355="","",IFERROR(VLOOKUP(B355,Справочники!$A$4:$C$18,2,FALSE()),"нет в справочнике"))</f>
        <v>Доход</v>
      </c>
      <c r="H355" s="13" t="n">
        <f aca="false">IF(A355="","",DATE(YEAR(A355),MONTH(A355),1))</f>
        <v>45962</v>
      </c>
    </row>
    <row r="356" customFormat="false" ht="15" hidden="false" customHeight="false" outlineLevel="0" collapsed="false">
      <c r="A356" s="12" t="n">
        <v>45979</v>
      </c>
      <c r="B356" s="7" t="s">
        <v>28</v>
      </c>
      <c r="C356" s="7" t="s">
        <v>21</v>
      </c>
      <c r="D356" s="7" t="s">
        <v>22</v>
      </c>
      <c r="E356" s="8" t="n">
        <v>18600</v>
      </c>
      <c r="F356" s="7" t="s">
        <v>61</v>
      </c>
      <c r="G356" s="0" t="str">
        <f aca="false">IF(B356="","",IFERROR(VLOOKUP(B356,Справочники!$A$4:$C$18,2,FALSE()),"нет в справочнике"))</f>
        <v>Доход</v>
      </c>
      <c r="H356" s="13" t="n">
        <f aca="false">IF(A356="","",DATE(YEAR(A356),MONTH(A356),1))</f>
        <v>45962</v>
      </c>
    </row>
    <row r="357" customFormat="false" ht="15" hidden="false" customHeight="false" outlineLevel="0" collapsed="false">
      <c r="A357" s="12" t="n">
        <v>45980</v>
      </c>
      <c r="B357" s="7" t="s">
        <v>18</v>
      </c>
      <c r="C357" s="7" t="s">
        <v>21</v>
      </c>
      <c r="D357" s="7" t="s">
        <v>22</v>
      </c>
      <c r="E357" s="8" t="n">
        <v>280100</v>
      </c>
      <c r="F357" s="7" t="s">
        <v>170</v>
      </c>
      <c r="G357" s="0" t="str">
        <f aca="false">IF(B357="","",IFERROR(VLOOKUP(B357,Справочники!$A$4:$C$18,2,FALSE()),"нет в справочнике"))</f>
        <v>Доход</v>
      </c>
      <c r="H357" s="13" t="n">
        <f aca="false">IF(A357="","",DATE(YEAR(A357),MONTH(A357),1))</f>
        <v>45962</v>
      </c>
    </row>
    <row r="358" customFormat="false" ht="15" hidden="false" customHeight="false" outlineLevel="0" collapsed="false">
      <c r="A358" s="12" t="n">
        <v>45980</v>
      </c>
      <c r="B358" s="7" t="s">
        <v>18</v>
      </c>
      <c r="C358" s="7" t="s">
        <v>21</v>
      </c>
      <c r="D358" s="7" t="s">
        <v>22</v>
      </c>
      <c r="E358" s="8" t="n">
        <v>290900</v>
      </c>
      <c r="F358" s="7" t="s">
        <v>171</v>
      </c>
      <c r="G358" s="0" t="str">
        <f aca="false">IF(B358="","",IFERROR(VLOOKUP(B358,Справочники!$A$4:$C$18,2,FALSE()),"нет в справочнике"))</f>
        <v>Доход</v>
      </c>
      <c r="H358" s="13" t="n">
        <f aca="false">IF(A358="","",DATE(YEAR(A358),MONTH(A358),1))</f>
        <v>45962</v>
      </c>
    </row>
    <row r="359" customFormat="false" ht="15" hidden="false" customHeight="false" outlineLevel="0" collapsed="false">
      <c r="A359" s="12" t="n">
        <v>45980</v>
      </c>
      <c r="B359" s="7" t="s">
        <v>18</v>
      </c>
      <c r="C359" s="7" t="s">
        <v>21</v>
      </c>
      <c r="D359" s="7" t="s">
        <v>22</v>
      </c>
      <c r="E359" s="8" t="n">
        <v>258500</v>
      </c>
      <c r="F359" s="7" t="s">
        <v>172</v>
      </c>
      <c r="G359" s="0" t="str">
        <f aca="false">IF(B359="","",IFERROR(VLOOKUP(B359,Справочники!$A$4:$C$18,2,FALSE()),"нет в справочнике"))</f>
        <v>Доход</v>
      </c>
      <c r="H359" s="13" t="n">
        <f aca="false">IF(A359="","",DATE(YEAR(A359),MONTH(A359),1))</f>
        <v>45962</v>
      </c>
    </row>
    <row r="360" customFormat="false" ht="15" hidden="false" customHeight="false" outlineLevel="0" collapsed="false">
      <c r="A360" s="12" t="n">
        <v>45981</v>
      </c>
      <c r="B360" s="7" t="s">
        <v>23</v>
      </c>
      <c r="C360" s="7" t="s">
        <v>24</v>
      </c>
      <c r="D360" s="7" t="s">
        <v>27</v>
      </c>
      <c r="E360" s="8" t="n">
        <v>93500</v>
      </c>
      <c r="F360" s="7" t="s">
        <v>173</v>
      </c>
      <c r="G360" s="0" t="str">
        <f aca="false">IF(B360="","",IFERROR(VLOOKUP(B360,Справочники!$A$4:$C$18,2,FALSE()),"нет в справочнике"))</f>
        <v>Доход</v>
      </c>
      <c r="H360" s="13" t="n">
        <f aca="false">IF(A360="","",DATE(YEAR(A360),MONTH(A360),1))</f>
        <v>45962</v>
      </c>
    </row>
    <row r="361" customFormat="false" ht="15" hidden="false" customHeight="false" outlineLevel="0" collapsed="false">
      <c r="A361" s="12" t="n">
        <v>45981</v>
      </c>
      <c r="B361" s="7" t="s">
        <v>41</v>
      </c>
      <c r="C361" s="7" t="s">
        <v>29</v>
      </c>
      <c r="D361" s="7" t="s">
        <v>22</v>
      </c>
      <c r="E361" s="8" t="n">
        <v>12500</v>
      </c>
      <c r="F361" s="7" t="s">
        <v>67</v>
      </c>
      <c r="G361" s="0" t="str">
        <f aca="false">IF(B361="","",IFERROR(VLOOKUP(B361,Справочники!$A$4:$C$18,2,FALSE()),"нет в справочнике"))</f>
        <v>Расход</v>
      </c>
      <c r="H361" s="13" t="n">
        <f aca="false">IF(A361="","",DATE(YEAR(A361),MONTH(A361),1))</f>
        <v>45962</v>
      </c>
    </row>
    <row r="362" customFormat="false" ht="15" hidden="false" customHeight="false" outlineLevel="0" collapsed="false">
      <c r="A362" s="12" t="n">
        <v>45982</v>
      </c>
      <c r="B362" s="7" t="s">
        <v>26</v>
      </c>
      <c r="C362" s="7" t="s">
        <v>26</v>
      </c>
      <c r="D362" s="7" t="s">
        <v>27</v>
      </c>
      <c r="E362" s="8" t="n">
        <v>23300</v>
      </c>
      <c r="F362" s="7" t="s">
        <v>49</v>
      </c>
      <c r="G362" s="0" t="str">
        <f aca="false">IF(B362="","",IFERROR(VLOOKUP(B362,Справочники!$A$4:$C$18,2,FALSE()),"нет в справочнике"))</f>
        <v>Доход</v>
      </c>
      <c r="H362" s="13" t="n">
        <f aca="false">IF(A362="","",DATE(YEAR(A362),MONTH(A362),1))</f>
        <v>45962</v>
      </c>
    </row>
    <row r="363" customFormat="false" ht="15" hidden="false" customHeight="false" outlineLevel="0" collapsed="false">
      <c r="A363" s="12" t="n">
        <v>45982</v>
      </c>
      <c r="B363" s="7" t="s">
        <v>35</v>
      </c>
      <c r="C363" s="7" t="s">
        <v>24</v>
      </c>
      <c r="D363" s="7" t="s">
        <v>27</v>
      </c>
      <c r="E363" s="8" t="n">
        <v>61500</v>
      </c>
      <c r="F363" s="7" t="s">
        <v>55</v>
      </c>
      <c r="G363" s="0" t="str">
        <f aca="false">IF(B363="","",IFERROR(VLOOKUP(B363,Справочники!$A$4:$C$18,2,FALSE()),"нет в справочнике"))</f>
        <v>Расход</v>
      </c>
      <c r="H363" s="13" t="n">
        <f aca="false">IF(A363="","",DATE(YEAR(A363),MONTH(A363),1))</f>
        <v>45962</v>
      </c>
    </row>
    <row r="364" customFormat="false" ht="15" hidden="false" customHeight="false" outlineLevel="0" collapsed="false">
      <c r="A364" s="12" t="n">
        <v>45984</v>
      </c>
      <c r="B364" s="7" t="s">
        <v>28</v>
      </c>
      <c r="C364" s="7" t="s">
        <v>21</v>
      </c>
      <c r="D364" s="7" t="s">
        <v>22</v>
      </c>
      <c r="E364" s="8" t="n">
        <v>20300</v>
      </c>
      <c r="F364" s="7" t="s">
        <v>61</v>
      </c>
      <c r="G364" s="0" t="str">
        <f aca="false">IF(B364="","",IFERROR(VLOOKUP(B364,Справочники!$A$4:$C$18,2,FALSE()),"нет в справочнике"))</f>
        <v>Доход</v>
      </c>
      <c r="H364" s="13" t="n">
        <f aca="false">IF(A364="","",DATE(YEAR(A364),MONTH(A364),1))</f>
        <v>45962</v>
      </c>
    </row>
    <row r="365" customFormat="false" ht="15" hidden="false" customHeight="false" outlineLevel="0" collapsed="false">
      <c r="A365" s="12" t="n">
        <v>45985</v>
      </c>
      <c r="B365" s="7" t="s">
        <v>23</v>
      </c>
      <c r="C365" s="7" t="s">
        <v>24</v>
      </c>
      <c r="D365" s="7" t="s">
        <v>22</v>
      </c>
      <c r="E365" s="8" t="n">
        <v>122500</v>
      </c>
      <c r="F365" s="7" t="s">
        <v>174</v>
      </c>
      <c r="G365" s="0" t="str">
        <f aca="false">IF(B365="","",IFERROR(VLOOKUP(B365,Справочники!$A$4:$C$18,2,FALSE()),"нет в справочнике"))</f>
        <v>Доход</v>
      </c>
      <c r="H365" s="13" t="n">
        <f aca="false">IF(A365="","",DATE(YEAR(A365),MONTH(A365),1))</f>
        <v>45962</v>
      </c>
    </row>
    <row r="366" customFormat="false" ht="15" hidden="false" customHeight="false" outlineLevel="0" collapsed="false">
      <c r="A366" s="12" t="n">
        <v>45987</v>
      </c>
      <c r="B366" s="7" t="s">
        <v>23</v>
      </c>
      <c r="C366" s="7" t="s">
        <v>24</v>
      </c>
      <c r="D366" s="7" t="s">
        <v>27</v>
      </c>
      <c r="E366" s="8" t="n">
        <v>165400</v>
      </c>
      <c r="F366" s="7" t="s">
        <v>175</v>
      </c>
      <c r="G366" s="0" t="str">
        <f aca="false">IF(B366="","",IFERROR(VLOOKUP(B366,Справочники!$A$4:$C$18,2,FALSE()),"нет в справочнике"))</f>
        <v>Доход</v>
      </c>
      <c r="H366" s="13" t="n">
        <f aca="false">IF(A366="","",DATE(YEAR(A366),MONTH(A366),1))</f>
        <v>45962</v>
      </c>
    </row>
    <row r="367" customFormat="false" ht="15" hidden="false" customHeight="false" outlineLevel="0" collapsed="false">
      <c r="A367" s="12" t="n">
        <v>45987</v>
      </c>
      <c r="B367" s="7" t="s">
        <v>23</v>
      </c>
      <c r="C367" s="7" t="s">
        <v>24</v>
      </c>
      <c r="D367" s="7" t="s">
        <v>27</v>
      </c>
      <c r="E367" s="8" t="n">
        <v>119300</v>
      </c>
      <c r="F367" s="7" t="s">
        <v>176</v>
      </c>
      <c r="G367" s="0" t="str">
        <f aca="false">IF(B367="","",IFERROR(VLOOKUP(B367,Справочники!$A$4:$C$18,2,FALSE()),"нет в справочнике"))</f>
        <v>Доход</v>
      </c>
      <c r="H367" s="13" t="n">
        <f aca="false">IF(A367="","",DATE(YEAR(A367),MONTH(A367),1))</f>
        <v>45962</v>
      </c>
    </row>
    <row r="368" customFormat="false" ht="15" hidden="false" customHeight="false" outlineLevel="0" collapsed="false">
      <c r="A368" s="12" t="n">
        <v>45989</v>
      </c>
      <c r="B368" s="7" t="s">
        <v>33</v>
      </c>
      <c r="C368" s="7" t="s">
        <v>24</v>
      </c>
      <c r="D368" s="7" t="s">
        <v>22</v>
      </c>
      <c r="E368" s="8" t="n">
        <v>62100</v>
      </c>
      <c r="F368" s="7" t="s">
        <v>59</v>
      </c>
      <c r="G368" s="0" t="str">
        <f aca="false">IF(B368="","",IFERROR(VLOOKUP(B368,Справочники!$A$4:$C$18,2,FALSE()),"нет в справочнике"))</f>
        <v>Расход</v>
      </c>
      <c r="H368" s="13" t="n">
        <f aca="false">IF(A368="","",DATE(YEAR(A368),MONTH(A368),1))</f>
        <v>45962</v>
      </c>
    </row>
    <row r="369" customFormat="false" ht="15" hidden="false" customHeight="false" outlineLevel="0" collapsed="false">
      <c r="A369" s="12" t="n">
        <v>45989</v>
      </c>
      <c r="B369" s="7" t="s">
        <v>34</v>
      </c>
      <c r="C369" s="7" t="s">
        <v>21</v>
      </c>
      <c r="D369" s="7" t="s">
        <v>22</v>
      </c>
      <c r="E369" s="8" t="n">
        <v>265200</v>
      </c>
      <c r="F369" s="7" t="s">
        <v>68</v>
      </c>
      <c r="G369" s="0" t="str">
        <f aca="false">IF(B369="","",IFERROR(VLOOKUP(B369,Справочники!$A$4:$C$18,2,FALSE()),"нет в справочнике"))</f>
        <v>Расход</v>
      </c>
      <c r="H369" s="13" t="n">
        <f aca="false">IF(A369="","",DATE(YEAR(A369),MONTH(A369),1))</f>
        <v>45962</v>
      </c>
    </row>
    <row r="370" customFormat="false" ht="15" hidden="false" customHeight="false" outlineLevel="0" collapsed="false">
      <c r="A370" s="12" t="n">
        <v>45990</v>
      </c>
      <c r="B370" s="7" t="s">
        <v>31</v>
      </c>
      <c r="C370" s="7" t="s">
        <v>24</v>
      </c>
      <c r="D370" s="7" t="s">
        <v>22</v>
      </c>
      <c r="E370" s="8" t="n">
        <v>354400</v>
      </c>
      <c r="F370" s="7" t="s">
        <v>56</v>
      </c>
      <c r="G370" s="0" t="str">
        <f aca="false">IF(B370="","",IFERROR(VLOOKUP(B370,Справочники!$A$4:$C$18,2,FALSE()),"нет в справочнике"))</f>
        <v>Расход</v>
      </c>
      <c r="H370" s="13" t="n">
        <f aca="false">IF(A370="","",DATE(YEAR(A370),MONTH(A370),1))</f>
        <v>45962</v>
      </c>
    </row>
    <row r="371" customFormat="false" ht="15" hidden="false" customHeight="false" outlineLevel="0" collapsed="false">
      <c r="A371" s="12" t="n">
        <v>45993</v>
      </c>
      <c r="B371" s="7" t="s">
        <v>18</v>
      </c>
      <c r="C371" s="7" t="s">
        <v>21</v>
      </c>
      <c r="D371" s="7" t="s">
        <v>22</v>
      </c>
      <c r="E371" s="8" t="n">
        <v>169100</v>
      </c>
      <c r="F371" s="7" t="s">
        <v>177</v>
      </c>
      <c r="G371" s="0" t="str">
        <f aca="false">IF(B371="","",IFERROR(VLOOKUP(B371,Справочники!$A$4:$C$18,2,FALSE()),"нет в справочнике"))</f>
        <v>Доход</v>
      </c>
      <c r="H371" s="13" t="n">
        <f aca="false">IF(A371="","",DATE(YEAR(A371),MONTH(A371),1))</f>
        <v>45992</v>
      </c>
    </row>
    <row r="372" customFormat="false" ht="15" hidden="false" customHeight="false" outlineLevel="0" collapsed="false">
      <c r="A372" s="12" t="n">
        <v>45993</v>
      </c>
      <c r="B372" s="7" t="s">
        <v>23</v>
      </c>
      <c r="C372" s="7" t="s">
        <v>24</v>
      </c>
      <c r="D372" s="7" t="s">
        <v>22</v>
      </c>
      <c r="E372" s="8" t="n">
        <v>124800</v>
      </c>
      <c r="F372" s="7" t="s">
        <v>178</v>
      </c>
      <c r="G372" s="0" t="str">
        <f aca="false">IF(B372="","",IFERROR(VLOOKUP(B372,Справочники!$A$4:$C$18,2,FALSE()),"нет в справочнике"))</f>
        <v>Доход</v>
      </c>
      <c r="H372" s="13" t="n">
        <f aca="false">IF(A372="","",DATE(YEAR(A372),MONTH(A372),1))</f>
        <v>45992</v>
      </c>
    </row>
    <row r="373" customFormat="false" ht="15" hidden="false" customHeight="false" outlineLevel="0" collapsed="false">
      <c r="A373" s="12" t="n">
        <v>45993</v>
      </c>
      <c r="B373" s="7" t="s">
        <v>28</v>
      </c>
      <c r="C373" s="7" t="s">
        <v>21</v>
      </c>
      <c r="D373" s="7" t="s">
        <v>22</v>
      </c>
      <c r="E373" s="8" t="n">
        <v>12400</v>
      </c>
      <c r="F373" s="7" t="s">
        <v>61</v>
      </c>
      <c r="G373" s="0" t="str">
        <f aca="false">IF(B373="","",IFERROR(VLOOKUP(B373,Справочники!$A$4:$C$18,2,FALSE()),"нет в справочнике"))</f>
        <v>Доход</v>
      </c>
      <c r="H373" s="13" t="n">
        <f aca="false">IF(A373="","",DATE(YEAR(A373),MONTH(A373),1))</f>
        <v>45992</v>
      </c>
    </row>
    <row r="374" customFormat="false" ht="15" hidden="false" customHeight="false" outlineLevel="0" collapsed="false">
      <c r="A374" s="12" t="n">
        <v>45996</v>
      </c>
      <c r="B374" s="7" t="s">
        <v>37</v>
      </c>
      <c r="C374" s="7" t="s">
        <v>29</v>
      </c>
      <c r="D374" s="7" t="s">
        <v>22</v>
      </c>
      <c r="E374" s="8" t="n">
        <v>85000</v>
      </c>
      <c r="F374" s="7" t="s">
        <v>51</v>
      </c>
      <c r="G374" s="0" t="str">
        <f aca="false">IF(B374="","",IFERROR(VLOOKUP(B374,Справочники!$A$4:$C$18,2,FALSE()),"нет в справочнике"))</f>
        <v>Расход</v>
      </c>
      <c r="H374" s="13" t="n">
        <f aca="false">IF(A374="","",DATE(YEAR(A374),MONTH(A374),1))</f>
        <v>45992</v>
      </c>
    </row>
    <row r="375" customFormat="false" ht="15" hidden="false" customHeight="false" outlineLevel="0" collapsed="false">
      <c r="A375" s="12" t="n">
        <v>45997</v>
      </c>
      <c r="B375" s="7" t="s">
        <v>18</v>
      </c>
      <c r="C375" s="7" t="s">
        <v>21</v>
      </c>
      <c r="D375" s="7" t="s">
        <v>22</v>
      </c>
      <c r="E375" s="8" t="n">
        <v>179400</v>
      </c>
      <c r="F375" s="7" t="s">
        <v>179</v>
      </c>
      <c r="G375" s="0" t="str">
        <f aca="false">IF(B375="","",IFERROR(VLOOKUP(B375,Справочники!$A$4:$C$18,2,FALSE()),"нет в справочнике"))</f>
        <v>Доход</v>
      </c>
      <c r="H375" s="13" t="n">
        <f aca="false">IF(A375="","",DATE(YEAR(A375),MONTH(A375),1))</f>
        <v>45992</v>
      </c>
    </row>
    <row r="376" customFormat="false" ht="15" hidden="false" customHeight="false" outlineLevel="0" collapsed="false">
      <c r="A376" s="12" t="n">
        <v>45999</v>
      </c>
      <c r="B376" s="7" t="s">
        <v>35</v>
      </c>
      <c r="C376" s="7" t="s">
        <v>24</v>
      </c>
      <c r="D376" s="7" t="s">
        <v>27</v>
      </c>
      <c r="E376" s="8" t="n">
        <v>40800</v>
      </c>
      <c r="F376" s="7" t="s">
        <v>55</v>
      </c>
      <c r="G376" s="0" t="str">
        <f aca="false">IF(B376="","",IFERROR(VLOOKUP(B376,Справочники!$A$4:$C$18,2,FALSE()),"нет в справочнике"))</f>
        <v>Расход</v>
      </c>
      <c r="H376" s="13" t="n">
        <f aca="false">IF(A376="","",DATE(YEAR(A376),MONTH(A376),1))</f>
        <v>45992</v>
      </c>
    </row>
    <row r="377" customFormat="false" ht="15" hidden="false" customHeight="false" outlineLevel="0" collapsed="false">
      <c r="A377" s="12" t="n">
        <v>46000</v>
      </c>
      <c r="B377" s="7" t="s">
        <v>28</v>
      </c>
      <c r="C377" s="7" t="s">
        <v>24</v>
      </c>
      <c r="D377" s="7" t="s">
        <v>22</v>
      </c>
      <c r="E377" s="8" t="n">
        <v>23100</v>
      </c>
      <c r="F377" s="7" t="s">
        <v>61</v>
      </c>
      <c r="G377" s="0" t="str">
        <f aca="false">IF(B377="","",IFERROR(VLOOKUP(B377,Справочники!$A$4:$C$18,2,FALSE()),"нет в справочнике"))</f>
        <v>Доход</v>
      </c>
      <c r="H377" s="13" t="n">
        <f aca="false">IF(A377="","",DATE(YEAR(A377),MONTH(A377),1))</f>
        <v>45992</v>
      </c>
    </row>
    <row r="378" customFormat="false" ht="15" hidden="false" customHeight="false" outlineLevel="0" collapsed="false">
      <c r="A378" s="12" t="n">
        <v>46001</v>
      </c>
      <c r="B378" s="7" t="s">
        <v>36</v>
      </c>
      <c r="C378" s="7" t="s">
        <v>29</v>
      </c>
      <c r="D378" s="7" t="s">
        <v>22</v>
      </c>
      <c r="E378" s="8" t="n">
        <v>210000</v>
      </c>
      <c r="F378" s="7" t="s">
        <v>57</v>
      </c>
      <c r="G378" s="0" t="str">
        <f aca="false">IF(B378="","",IFERROR(VLOOKUP(B378,Справочники!$A$4:$C$18,2,FALSE()),"нет в справочнике"))</f>
        <v>Расход</v>
      </c>
      <c r="H378" s="13" t="n">
        <f aca="false">IF(A378="","",DATE(YEAR(A378),MONTH(A378),1))</f>
        <v>45992</v>
      </c>
    </row>
    <row r="379" customFormat="false" ht="15" hidden="false" customHeight="false" outlineLevel="0" collapsed="false">
      <c r="A379" s="12" t="n">
        <v>46002</v>
      </c>
      <c r="B379" s="7" t="s">
        <v>33</v>
      </c>
      <c r="C379" s="7" t="s">
        <v>24</v>
      </c>
      <c r="D379" s="7" t="s">
        <v>22</v>
      </c>
      <c r="E379" s="8" t="n">
        <v>63000</v>
      </c>
      <c r="F379" s="7" t="s">
        <v>59</v>
      </c>
      <c r="G379" s="0" t="str">
        <f aca="false">IF(B379="","",IFERROR(VLOOKUP(B379,Справочники!$A$4:$C$18,2,FALSE()),"нет в справочнике"))</f>
        <v>Расход</v>
      </c>
      <c r="H379" s="13" t="n">
        <f aca="false">IF(A379="","",DATE(YEAR(A379),MONTH(A379),1))</f>
        <v>45992</v>
      </c>
    </row>
    <row r="380" customFormat="false" ht="15" hidden="false" customHeight="false" outlineLevel="0" collapsed="false">
      <c r="A380" s="12" t="n">
        <v>46003</v>
      </c>
      <c r="B380" s="7" t="s">
        <v>28</v>
      </c>
      <c r="C380" s="7" t="s">
        <v>21</v>
      </c>
      <c r="D380" s="7" t="s">
        <v>22</v>
      </c>
      <c r="E380" s="8" t="n">
        <v>9500</v>
      </c>
      <c r="F380" s="7" t="s">
        <v>61</v>
      </c>
      <c r="G380" s="0" t="str">
        <f aca="false">IF(B380="","",IFERROR(VLOOKUP(B380,Справочники!$A$4:$C$18,2,FALSE()),"нет в справочнике"))</f>
        <v>Доход</v>
      </c>
      <c r="H380" s="13" t="n">
        <f aca="false">IF(A380="","",DATE(YEAR(A380),MONTH(A380),1))</f>
        <v>45992</v>
      </c>
    </row>
    <row r="381" customFormat="false" ht="15" hidden="false" customHeight="false" outlineLevel="0" collapsed="false">
      <c r="A381" s="12" t="n">
        <v>46004</v>
      </c>
      <c r="B381" s="7" t="s">
        <v>23</v>
      </c>
      <c r="C381" s="7" t="s">
        <v>24</v>
      </c>
      <c r="D381" s="7" t="s">
        <v>27</v>
      </c>
      <c r="E381" s="8" t="n">
        <v>76700</v>
      </c>
      <c r="F381" s="7" t="s">
        <v>143</v>
      </c>
      <c r="G381" s="0" t="str">
        <f aca="false">IF(B381="","",IFERROR(VLOOKUP(B381,Справочники!$A$4:$C$18,2,FALSE()),"нет в справочнике"))</f>
        <v>Доход</v>
      </c>
      <c r="H381" s="13" t="n">
        <f aca="false">IF(A381="","",DATE(YEAR(A381),MONTH(A381),1))</f>
        <v>45992</v>
      </c>
    </row>
    <row r="382" customFormat="false" ht="15" hidden="false" customHeight="false" outlineLevel="0" collapsed="false">
      <c r="A382" s="12" t="n">
        <v>46004</v>
      </c>
      <c r="B382" s="7" t="s">
        <v>26</v>
      </c>
      <c r="C382" s="7" t="s">
        <v>26</v>
      </c>
      <c r="D382" s="7" t="s">
        <v>25</v>
      </c>
      <c r="E382" s="8" t="n">
        <v>12100</v>
      </c>
      <c r="F382" s="7" t="s">
        <v>49</v>
      </c>
      <c r="G382" s="0" t="str">
        <f aca="false">IF(B382="","",IFERROR(VLOOKUP(B382,Справочники!$A$4:$C$18,2,FALSE()),"нет в справочнике"))</f>
        <v>Доход</v>
      </c>
      <c r="H382" s="13" t="n">
        <f aca="false">IF(A382="","",DATE(YEAR(A382),MONTH(A382),1))</f>
        <v>45992</v>
      </c>
    </row>
    <row r="383" customFormat="false" ht="15" hidden="false" customHeight="false" outlineLevel="0" collapsed="false">
      <c r="A383" s="12" t="n">
        <v>46005</v>
      </c>
      <c r="B383" s="7" t="s">
        <v>39</v>
      </c>
      <c r="C383" s="7" t="s">
        <v>29</v>
      </c>
      <c r="D383" s="7" t="s">
        <v>27</v>
      </c>
      <c r="E383" s="8" t="n">
        <v>42200</v>
      </c>
      <c r="F383" s="7" t="s">
        <v>53</v>
      </c>
      <c r="G383" s="0" t="str">
        <f aca="false">IF(B383="","",IFERROR(VLOOKUP(B383,Справочники!$A$4:$C$18,2,FALSE()),"нет в справочнике"))</f>
        <v>Расход</v>
      </c>
      <c r="H383" s="13" t="n">
        <f aca="false">IF(A383="","",DATE(YEAR(A383),MONTH(A383),1))</f>
        <v>45992</v>
      </c>
    </row>
    <row r="384" customFormat="false" ht="15" hidden="false" customHeight="false" outlineLevel="0" collapsed="false">
      <c r="A384" s="12" t="n">
        <v>46006</v>
      </c>
      <c r="B384" s="7" t="s">
        <v>38</v>
      </c>
      <c r="C384" s="7" t="s">
        <v>29</v>
      </c>
      <c r="D384" s="7" t="s">
        <v>22</v>
      </c>
      <c r="E384" s="8" t="n">
        <v>30600</v>
      </c>
      <c r="F384" s="7" t="s">
        <v>63</v>
      </c>
      <c r="G384" s="0" t="str">
        <f aca="false">IF(B384="","",IFERROR(VLOOKUP(B384,Справочники!$A$4:$C$18,2,FALSE()),"нет в справочнике"))</f>
        <v>Расход</v>
      </c>
      <c r="H384" s="13" t="n">
        <f aca="false">IF(A384="","",DATE(YEAR(A384),MONTH(A384),1))</f>
        <v>45992</v>
      </c>
    </row>
    <row r="385" customFormat="false" ht="15" hidden="false" customHeight="false" outlineLevel="0" collapsed="false">
      <c r="A385" s="12" t="n">
        <v>46007</v>
      </c>
      <c r="B385" s="7" t="s">
        <v>18</v>
      </c>
      <c r="C385" s="7" t="s">
        <v>21</v>
      </c>
      <c r="D385" s="7" t="s">
        <v>22</v>
      </c>
      <c r="E385" s="8" t="n">
        <v>181400</v>
      </c>
      <c r="F385" s="7" t="s">
        <v>180</v>
      </c>
      <c r="G385" s="0" t="str">
        <f aca="false">IF(B385="","",IFERROR(VLOOKUP(B385,Справочники!$A$4:$C$18,2,FALSE()),"нет в справочнике"))</f>
        <v>Доход</v>
      </c>
      <c r="H385" s="13" t="n">
        <f aca="false">IF(A385="","",DATE(YEAR(A385),MONTH(A385),1))</f>
        <v>45992</v>
      </c>
    </row>
    <row r="386" customFormat="false" ht="15" hidden="false" customHeight="false" outlineLevel="0" collapsed="false">
      <c r="A386" s="12" t="n">
        <v>46007</v>
      </c>
      <c r="B386" s="7" t="s">
        <v>23</v>
      </c>
      <c r="C386" s="7" t="s">
        <v>24</v>
      </c>
      <c r="D386" s="7" t="s">
        <v>27</v>
      </c>
      <c r="E386" s="8" t="n">
        <v>89400</v>
      </c>
      <c r="F386" s="7" t="s">
        <v>181</v>
      </c>
      <c r="G386" s="0" t="str">
        <f aca="false">IF(B386="","",IFERROR(VLOOKUP(B386,Справочники!$A$4:$C$18,2,FALSE()),"нет в справочнике"))</f>
        <v>Доход</v>
      </c>
      <c r="H386" s="13" t="n">
        <f aca="false">IF(A386="","",DATE(YEAR(A386),MONTH(A386),1))</f>
        <v>45992</v>
      </c>
    </row>
    <row r="387" customFormat="false" ht="15" hidden="false" customHeight="false" outlineLevel="0" collapsed="false">
      <c r="A387" s="12" t="n">
        <v>46007</v>
      </c>
      <c r="B387" s="7" t="s">
        <v>31</v>
      </c>
      <c r="C387" s="7" t="s">
        <v>21</v>
      </c>
      <c r="D387" s="7" t="s">
        <v>22</v>
      </c>
      <c r="E387" s="8" t="n">
        <v>107100</v>
      </c>
      <c r="F387" s="7" t="s">
        <v>56</v>
      </c>
      <c r="G387" s="0" t="str">
        <f aca="false">IF(B387="","",IFERROR(VLOOKUP(B387,Справочники!$A$4:$C$18,2,FALSE()),"нет в справочнике"))</f>
        <v>Расход</v>
      </c>
      <c r="H387" s="13" t="n">
        <f aca="false">IF(A387="","",DATE(YEAR(A387),MONTH(A387),1))</f>
        <v>45992</v>
      </c>
    </row>
    <row r="388" customFormat="false" ht="15" hidden="false" customHeight="false" outlineLevel="0" collapsed="false">
      <c r="A388" s="12" t="n">
        <v>46011</v>
      </c>
      <c r="B388" s="7" t="s">
        <v>28</v>
      </c>
      <c r="C388" s="7" t="s">
        <v>24</v>
      </c>
      <c r="D388" s="7" t="s">
        <v>22</v>
      </c>
      <c r="E388" s="8" t="n">
        <v>20500</v>
      </c>
      <c r="F388" s="7" t="s">
        <v>61</v>
      </c>
      <c r="G388" s="0" t="str">
        <f aca="false">IF(B388="","",IFERROR(VLOOKUP(B388,Справочники!$A$4:$C$18,2,FALSE()),"нет в справочнике"))</f>
        <v>Доход</v>
      </c>
      <c r="H388" s="13" t="n">
        <f aca="false">IF(A388="","",DATE(YEAR(A388),MONTH(A388),1))</f>
        <v>45992</v>
      </c>
    </row>
    <row r="389" customFormat="false" ht="15" hidden="false" customHeight="false" outlineLevel="0" collapsed="false">
      <c r="A389" s="12" t="n">
        <v>46011</v>
      </c>
      <c r="B389" s="7" t="s">
        <v>31</v>
      </c>
      <c r="C389" s="7" t="s">
        <v>21</v>
      </c>
      <c r="D389" s="7" t="s">
        <v>22</v>
      </c>
      <c r="E389" s="8" t="n">
        <v>93600</v>
      </c>
      <c r="F389" s="7" t="s">
        <v>56</v>
      </c>
      <c r="G389" s="0" t="str">
        <f aca="false">IF(B389="","",IFERROR(VLOOKUP(B389,Справочники!$A$4:$C$18,2,FALSE()),"нет в справочнике"))</f>
        <v>Расход</v>
      </c>
      <c r="H389" s="13" t="n">
        <f aca="false">IF(A389="","",DATE(YEAR(A389),MONTH(A389),1))</f>
        <v>45992</v>
      </c>
    </row>
    <row r="390" customFormat="false" ht="15" hidden="false" customHeight="false" outlineLevel="0" collapsed="false">
      <c r="A390" s="12" t="n">
        <v>46011</v>
      </c>
      <c r="B390" s="7" t="s">
        <v>41</v>
      </c>
      <c r="C390" s="7" t="s">
        <v>29</v>
      </c>
      <c r="D390" s="7" t="s">
        <v>22</v>
      </c>
      <c r="E390" s="8" t="n">
        <v>12500</v>
      </c>
      <c r="F390" s="7" t="s">
        <v>67</v>
      </c>
      <c r="G390" s="0" t="str">
        <f aca="false">IF(B390="","",IFERROR(VLOOKUP(B390,Справочники!$A$4:$C$18,2,FALSE()),"нет в справочнике"))</f>
        <v>Расход</v>
      </c>
      <c r="H390" s="13" t="n">
        <f aca="false">IF(A390="","",DATE(YEAR(A390),MONTH(A390),1))</f>
        <v>45992</v>
      </c>
    </row>
    <row r="391" customFormat="false" ht="15" hidden="false" customHeight="false" outlineLevel="0" collapsed="false">
      <c r="A391" s="12" t="n">
        <v>46014</v>
      </c>
      <c r="B391" s="7" t="s">
        <v>26</v>
      </c>
      <c r="C391" s="7" t="s">
        <v>26</v>
      </c>
      <c r="D391" s="7" t="s">
        <v>27</v>
      </c>
      <c r="E391" s="8" t="n">
        <v>15100</v>
      </c>
      <c r="F391" s="7" t="s">
        <v>49</v>
      </c>
      <c r="G391" s="0" t="str">
        <f aca="false">IF(B391="","",IFERROR(VLOOKUP(B391,Справочники!$A$4:$C$18,2,FALSE()),"нет в справочнике"))</f>
        <v>Доход</v>
      </c>
      <c r="H391" s="13" t="n">
        <f aca="false">IF(A391="","",DATE(YEAR(A391),MONTH(A391),1))</f>
        <v>45992</v>
      </c>
    </row>
    <row r="392" customFormat="false" ht="15" hidden="false" customHeight="false" outlineLevel="0" collapsed="false">
      <c r="A392" s="12" t="n">
        <v>46016</v>
      </c>
      <c r="B392" s="7" t="s">
        <v>18</v>
      </c>
      <c r="C392" s="7" t="s">
        <v>21</v>
      </c>
      <c r="D392" s="7" t="s">
        <v>22</v>
      </c>
      <c r="E392" s="8" t="n">
        <v>214000</v>
      </c>
      <c r="F392" s="7" t="s">
        <v>182</v>
      </c>
      <c r="G392" s="0" t="str">
        <f aca="false">IF(B392="","",IFERROR(VLOOKUP(B392,Справочники!$A$4:$C$18,2,FALSE()),"нет в справочнике"))</f>
        <v>Доход</v>
      </c>
      <c r="H392" s="13" t="n">
        <f aca="false">IF(A392="","",DATE(YEAR(A392),MONTH(A392),1))</f>
        <v>45992</v>
      </c>
    </row>
    <row r="393" customFormat="false" ht="15" hidden="false" customHeight="false" outlineLevel="0" collapsed="false">
      <c r="A393" s="12" t="n">
        <v>46016</v>
      </c>
      <c r="B393" s="7" t="s">
        <v>23</v>
      </c>
      <c r="C393" s="7" t="s">
        <v>24</v>
      </c>
      <c r="D393" s="7" t="s">
        <v>27</v>
      </c>
      <c r="E393" s="8" t="n">
        <v>104100</v>
      </c>
      <c r="F393" s="7" t="s">
        <v>183</v>
      </c>
      <c r="G393" s="0" t="str">
        <f aca="false">IF(B393="","",IFERROR(VLOOKUP(B393,Справочники!$A$4:$C$18,2,FALSE()),"нет в справочнике"))</f>
        <v>Доход</v>
      </c>
      <c r="H393" s="13" t="n">
        <f aca="false">IF(A393="","",DATE(YEAR(A393),MONTH(A393),1))</f>
        <v>45992</v>
      </c>
    </row>
    <row r="394" customFormat="false" ht="15" hidden="false" customHeight="false" outlineLevel="0" collapsed="false">
      <c r="A394" s="12" t="n">
        <v>46016</v>
      </c>
      <c r="B394" s="7" t="s">
        <v>31</v>
      </c>
      <c r="C394" s="7" t="s">
        <v>21</v>
      </c>
      <c r="D394" s="7" t="s">
        <v>22</v>
      </c>
      <c r="E394" s="8" t="n">
        <v>98100</v>
      </c>
      <c r="F394" s="7" t="s">
        <v>56</v>
      </c>
      <c r="G394" s="0" t="str">
        <f aca="false">IF(B394="","",IFERROR(VLOOKUP(B394,Справочники!$A$4:$C$18,2,FALSE()),"нет в справочнике"))</f>
        <v>Расход</v>
      </c>
      <c r="H394" s="13" t="n">
        <f aca="false">IF(A394="","",DATE(YEAR(A394),MONTH(A394),1))</f>
        <v>45992</v>
      </c>
    </row>
    <row r="395" customFormat="false" ht="15" hidden="false" customHeight="false" outlineLevel="0" collapsed="false">
      <c r="A395" s="12" t="n">
        <v>46017</v>
      </c>
      <c r="B395" s="7" t="s">
        <v>23</v>
      </c>
      <c r="C395" s="7" t="s">
        <v>24</v>
      </c>
      <c r="D395" s="7" t="s">
        <v>27</v>
      </c>
      <c r="E395" s="8" t="n">
        <v>125800</v>
      </c>
      <c r="F395" s="7" t="s">
        <v>184</v>
      </c>
      <c r="G395" s="0" t="str">
        <f aca="false">IF(B395="","",IFERROR(VLOOKUP(B395,Справочники!$A$4:$C$18,2,FALSE()),"нет в справочнике"))</f>
        <v>Доход</v>
      </c>
      <c r="H395" s="13" t="n">
        <f aca="false">IF(A395="","",DATE(YEAR(A395),MONTH(A395),1))</f>
        <v>45992</v>
      </c>
    </row>
    <row r="396" customFormat="false" ht="15" hidden="false" customHeight="false" outlineLevel="0" collapsed="false">
      <c r="A396" s="12" t="n">
        <v>46017</v>
      </c>
      <c r="B396" s="7" t="s">
        <v>31</v>
      </c>
      <c r="C396" s="7" t="s">
        <v>24</v>
      </c>
      <c r="D396" s="7" t="s">
        <v>22</v>
      </c>
      <c r="E396" s="8" t="n">
        <v>116100</v>
      </c>
      <c r="F396" s="7" t="s">
        <v>56</v>
      </c>
      <c r="G396" s="0" t="str">
        <f aca="false">IF(B396="","",IFERROR(VLOOKUP(B396,Справочники!$A$4:$C$18,2,FALSE()),"нет в справочнике"))</f>
        <v>Расход</v>
      </c>
      <c r="H396" s="13" t="n">
        <f aca="false">IF(A396="","",DATE(YEAR(A396),MONTH(A396),1))</f>
        <v>45992</v>
      </c>
    </row>
    <row r="397" customFormat="false" ht="15" hidden="false" customHeight="false" outlineLevel="0" collapsed="false">
      <c r="A397" s="12" t="n">
        <v>46018</v>
      </c>
      <c r="B397" s="7" t="s">
        <v>26</v>
      </c>
      <c r="C397" s="7" t="s">
        <v>26</v>
      </c>
      <c r="D397" s="7" t="s">
        <v>25</v>
      </c>
      <c r="E397" s="8" t="n">
        <v>25500</v>
      </c>
      <c r="F397" s="7" t="s">
        <v>49</v>
      </c>
      <c r="G397" s="0" t="str">
        <f aca="false">IF(B397="","",IFERROR(VLOOKUP(B397,Справочники!$A$4:$C$18,2,FALSE()),"нет в справочнике"))</f>
        <v>Доход</v>
      </c>
      <c r="H397" s="13" t="n">
        <f aca="false">IF(A397="","",DATE(YEAR(A397),MONTH(A397),1))</f>
        <v>45992</v>
      </c>
    </row>
    <row r="398" customFormat="false" ht="15" hidden="false" customHeight="false" outlineLevel="0" collapsed="false">
      <c r="A398" s="12" t="n">
        <v>46018</v>
      </c>
      <c r="B398" s="7" t="s">
        <v>28</v>
      </c>
      <c r="C398" s="7" t="s">
        <v>24</v>
      </c>
      <c r="D398" s="7" t="s">
        <v>22</v>
      </c>
      <c r="E398" s="8" t="n">
        <v>18300</v>
      </c>
      <c r="F398" s="7" t="s">
        <v>61</v>
      </c>
      <c r="G398" s="0" t="str">
        <f aca="false">IF(B398="","",IFERROR(VLOOKUP(B398,Справочники!$A$4:$C$18,2,FALSE()),"нет в справочнике"))</f>
        <v>Доход</v>
      </c>
      <c r="H398" s="13" t="n">
        <f aca="false">IF(A398="","",DATE(YEAR(A398),MONTH(A398),1))</f>
        <v>45992</v>
      </c>
    </row>
    <row r="399" customFormat="false" ht="15" hidden="false" customHeight="false" outlineLevel="0" collapsed="false">
      <c r="A399" s="12" t="n">
        <v>46019</v>
      </c>
      <c r="B399" s="7" t="s">
        <v>34</v>
      </c>
      <c r="C399" s="7" t="s">
        <v>21</v>
      </c>
      <c r="D399" s="7" t="s">
        <v>22</v>
      </c>
      <c r="E399" s="8" t="n">
        <v>154100</v>
      </c>
      <c r="F399" s="7" t="s">
        <v>68</v>
      </c>
      <c r="G399" s="0" t="str">
        <f aca="false">IF(B399="","",IFERROR(VLOOKUP(B399,Справочники!$A$4:$C$18,2,FALSE()),"нет в справочнике"))</f>
        <v>Расход</v>
      </c>
      <c r="H399" s="13" t="n">
        <f aca="false">IF(A399="","",DATE(YEAR(A399),MONTH(A399),1))</f>
        <v>45992</v>
      </c>
    </row>
    <row r="400" customFormat="false" ht="15" hidden="false" customHeight="false" outlineLevel="0" collapsed="false">
      <c r="A400" s="12" t="n">
        <v>46019</v>
      </c>
      <c r="B400" s="7" t="s">
        <v>42</v>
      </c>
      <c r="C400" s="7" t="s">
        <v>29</v>
      </c>
      <c r="D400" s="7" t="s">
        <v>22</v>
      </c>
      <c r="E400" s="8" t="n">
        <v>371000</v>
      </c>
      <c r="F400" s="7" t="s">
        <v>185</v>
      </c>
      <c r="G400" s="0" t="str">
        <f aca="false">IF(B400="","",IFERROR(VLOOKUP(B400,Справочники!$A$4:$C$18,2,FALSE()),"нет в справочнике"))</f>
        <v>Расход</v>
      </c>
      <c r="H400" s="13" t="n">
        <f aca="false">IF(A400="","",DATE(YEAR(A400),MONTH(A400),1))</f>
        <v>45992</v>
      </c>
    </row>
    <row r="401" customFormat="false" ht="15" hidden="false" customHeight="false" outlineLevel="0" collapsed="false">
      <c r="A401" s="12" t="n">
        <v>46022</v>
      </c>
      <c r="B401" s="7" t="s">
        <v>33</v>
      </c>
      <c r="C401" s="7" t="s">
        <v>21</v>
      </c>
      <c r="D401" s="7" t="s">
        <v>22</v>
      </c>
      <c r="E401" s="8" t="n">
        <v>55300</v>
      </c>
      <c r="F401" s="7" t="s">
        <v>59</v>
      </c>
      <c r="G401" s="0" t="str">
        <f aca="false">IF(B401="","",IFERROR(VLOOKUP(B401,Справочники!$A$4:$C$18,2,FALSE()),"нет в справочнике"))</f>
        <v>Расход</v>
      </c>
      <c r="H401" s="13" t="n">
        <f aca="false">IF(A401="","",DATE(YEAR(A401),MONTH(A401),1))</f>
        <v>45992</v>
      </c>
    </row>
    <row r="402" customFormat="false" ht="15" hidden="false" customHeight="false" outlineLevel="0" collapsed="false">
      <c r="A402" s="12"/>
      <c r="B402" s="7"/>
      <c r="C402" s="7"/>
      <c r="D402" s="7"/>
      <c r="E402" s="8"/>
      <c r="G402" s="0" t="str">
        <f aca="false">IF(B402="","",IFERROR(VLOOKUP(B402,Справочники!$A$4:$C$18,2,FALSE()),"нет в справочнике"))</f>
        <v/>
      </c>
      <c r="H402" s="13" t="str">
        <f aca="false">IF(A402="","",DATE(YEAR(A402),MONTH(A402),1))</f>
        <v/>
      </c>
    </row>
    <row r="403" customFormat="false" ht="15" hidden="false" customHeight="false" outlineLevel="0" collapsed="false">
      <c r="A403" s="12"/>
      <c r="B403" s="7"/>
      <c r="C403" s="7"/>
      <c r="D403" s="7"/>
      <c r="E403" s="8"/>
      <c r="G403" s="0" t="str">
        <f aca="false">IF(B403="","",IFERROR(VLOOKUP(B403,Справочники!$A$4:$C$18,2,FALSE()),"нет в справочнике"))</f>
        <v/>
      </c>
      <c r="H403" s="13" t="str">
        <f aca="false">IF(A403="","",DATE(YEAR(A403),MONTH(A403),1))</f>
        <v/>
      </c>
    </row>
    <row r="404" customFormat="false" ht="15" hidden="false" customHeight="false" outlineLevel="0" collapsed="false">
      <c r="A404" s="12"/>
      <c r="B404" s="7"/>
      <c r="C404" s="7"/>
      <c r="D404" s="7"/>
      <c r="E404" s="8"/>
      <c r="G404" s="0" t="str">
        <f aca="false">IF(B404="","",IFERROR(VLOOKUP(B404,Справочники!$A$4:$C$18,2,FALSE()),"нет в справочнике"))</f>
        <v/>
      </c>
      <c r="H404" s="13" t="str">
        <f aca="false">IF(A404="","",DATE(YEAR(A404),MONTH(A404),1))</f>
        <v/>
      </c>
    </row>
    <row r="405" customFormat="false" ht="15" hidden="false" customHeight="false" outlineLevel="0" collapsed="false">
      <c r="A405" s="12"/>
      <c r="B405" s="7"/>
      <c r="C405" s="7"/>
      <c r="D405" s="7"/>
      <c r="E405" s="8"/>
      <c r="G405" s="0" t="str">
        <f aca="false">IF(B405="","",IFERROR(VLOOKUP(B405,Справочники!$A$4:$C$18,2,FALSE()),"нет в справочнике"))</f>
        <v/>
      </c>
      <c r="H405" s="13" t="str">
        <f aca="false">IF(A405="","",DATE(YEAR(A405),MONTH(A405),1))</f>
        <v/>
      </c>
    </row>
    <row r="406" customFormat="false" ht="15" hidden="false" customHeight="false" outlineLevel="0" collapsed="false">
      <c r="A406" s="12"/>
      <c r="B406" s="7"/>
      <c r="C406" s="7"/>
      <c r="D406" s="7"/>
      <c r="E406" s="8"/>
      <c r="G406" s="0" t="str">
        <f aca="false">IF(B406="","",IFERROR(VLOOKUP(B406,Справочники!$A$4:$C$18,2,FALSE()),"нет в справочнике"))</f>
        <v/>
      </c>
      <c r="H406" s="13" t="str">
        <f aca="false">IF(A406="","",DATE(YEAR(A406),MONTH(A406),1))</f>
        <v/>
      </c>
    </row>
    <row r="407" customFormat="false" ht="15" hidden="false" customHeight="false" outlineLevel="0" collapsed="false">
      <c r="A407" s="12"/>
      <c r="B407" s="7"/>
      <c r="C407" s="7"/>
      <c r="D407" s="7"/>
      <c r="E407" s="8"/>
      <c r="G407" s="0" t="str">
        <f aca="false">IF(B407="","",IFERROR(VLOOKUP(B407,Справочники!$A$4:$C$18,2,FALSE()),"нет в справочнике"))</f>
        <v/>
      </c>
      <c r="H407" s="13" t="str">
        <f aca="false">IF(A407="","",DATE(YEAR(A407),MONTH(A407),1))</f>
        <v/>
      </c>
    </row>
    <row r="408" customFormat="false" ht="15" hidden="false" customHeight="false" outlineLevel="0" collapsed="false">
      <c r="A408" s="12"/>
      <c r="B408" s="7"/>
      <c r="C408" s="7"/>
      <c r="D408" s="7"/>
      <c r="E408" s="8"/>
      <c r="G408" s="0" t="str">
        <f aca="false">IF(B408="","",IFERROR(VLOOKUP(B408,Справочники!$A$4:$C$18,2,FALSE()),"нет в справочнике"))</f>
        <v/>
      </c>
      <c r="H408" s="13" t="str">
        <f aca="false">IF(A408="","",DATE(YEAR(A408),MONTH(A408),1))</f>
        <v/>
      </c>
    </row>
    <row r="409" customFormat="false" ht="15" hidden="false" customHeight="false" outlineLevel="0" collapsed="false">
      <c r="A409" s="12"/>
      <c r="B409" s="7"/>
      <c r="C409" s="7"/>
      <c r="D409" s="7"/>
      <c r="E409" s="8"/>
      <c r="G409" s="0" t="str">
        <f aca="false">IF(B409="","",IFERROR(VLOOKUP(B409,Справочники!$A$4:$C$18,2,FALSE()),"нет в справочнике"))</f>
        <v/>
      </c>
      <c r="H409" s="13" t="str">
        <f aca="false">IF(A409="","",DATE(YEAR(A409),MONTH(A409),1))</f>
        <v/>
      </c>
    </row>
    <row r="410" customFormat="false" ht="15" hidden="false" customHeight="false" outlineLevel="0" collapsed="false">
      <c r="A410" s="12"/>
      <c r="B410" s="7"/>
      <c r="C410" s="7"/>
      <c r="D410" s="7"/>
      <c r="E410" s="8"/>
      <c r="G410" s="0" t="str">
        <f aca="false">IF(B410="","",IFERROR(VLOOKUP(B410,Справочники!$A$4:$C$18,2,FALSE()),"нет в справочнике"))</f>
        <v/>
      </c>
      <c r="H410" s="13" t="str">
        <f aca="false">IF(A410="","",DATE(YEAR(A410),MONTH(A410),1))</f>
        <v/>
      </c>
    </row>
    <row r="411" customFormat="false" ht="15" hidden="false" customHeight="false" outlineLevel="0" collapsed="false">
      <c r="A411" s="12"/>
      <c r="B411" s="7"/>
      <c r="C411" s="7"/>
      <c r="D411" s="7"/>
      <c r="E411" s="8"/>
      <c r="G411" s="0" t="str">
        <f aca="false">IF(B411="","",IFERROR(VLOOKUP(B411,Справочники!$A$4:$C$18,2,FALSE()),"нет в справочнике"))</f>
        <v/>
      </c>
      <c r="H411" s="13" t="str">
        <f aca="false">IF(A411="","",DATE(YEAR(A411),MONTH(A411),1))</f>
        <v/>
      </c>
    </row>
    <row r="412" customFormat="false" ht="15" hidden="false" customHeight="false" outlineLevel="0" collapsed="false">
      <c r="A412" s="12"/>
      <c r="B412" s="7"/>
      <c r="C412" s="7"/>
      <c r="D412" s="7"/>
      <c r="E412" s="8"/>
      <c r="G412" s="0" t="str">
        <f aca="false">IF(B412="","",IFERROR(VLOOKUP(B412,Справочники!$A$4:$C$18,2,FALSE()),"нет в справочнике"))</f>
        <v/>
      </c>
      <c r="H412" s="13" t="str">
        <f aca="false">IF(A412="","",DATE(YEAR(A412),MONTH(A412),1))</f>
        <v/>
      </c>
    </row>
    <row r="413" customFormat="false" ht="15" hidden="false" customHeight="false" outlineLevel="0" collapsed="false">
      <c r="A413" s="12"/>
      <c r="B413" s="7"/>
      <c r="C413" s="7"/>
      <c r="D413" s="7"/>
      <c r="E413" s="8"/>
      <c r="G413" s="0" t="str">
        <f aca="false">IF(B413="","",IFERROR(VLOOKUP(B413,Справочники!$A$4:$C$18,2,FALSE()),"нет в справочнике"))</f>
        <v/>
      </c>
      <c r="H413" s="13" t="str">
        <f aca="false">IF(A413="","",DATE(YEAR(A413),MONTH(A413),1))</f>
        <v/>
      </c>
    </row>
    <row r="414" customFormat="false" ht="15" hidden="false" customHeight="false" outlineLevel="0" collapsed="false">
      <c r="A414" s="12"/>
      <c r="B414" s="7"/>
      <c r="C414" s="7"/>
      <c r="D414" s="7"/>
      <c r="E414" s="8"/>
      <c r="G414" s="0" t="str">
        <f aca="false">IF(B414="","",IFERROR(VLOOKUP(B414,Справочники!$A$4:$C$18,2,FALSE()),"нет в справочнике"))</f>
        <v/>
      </c>
      <c r="H414" s="13" t="str">
        <f aca="false">IF(A414="","",DATE(YEAR(A414),MONTH(A414),1))</f>
        <v/>
      </c>
    </row>
    <row r="415" customFormat="false" ht="15" hidden="false" customHeight="false" outlineLevel="0" collapsed="false">
      <c r="A415" s="12"/>
      <c r="B415" s="7"/>
      <c r="C415" s="7"/>
      <c r="D415" s="7"/>
      <c r="E415" s="8"/>
      <c r="G415" s="0" t="str">
        <f aca="false">IF(B415="","",IFERROR(VLOOKUP(B415,Справочники!$A$4:$C$18,2,FALSE()),"нет в справочнике"))</f>
        <v/>
      </c>
      <c r="H415" s="13" t="str">
        <f aca="false">IF(A415="","",DATE(YEAR(A415),MONTH(A415),1))</f>
        <v/>
      </c>
    </row>
    <row r="416" customFormat="false" ht="15" hidden="false" customHeight="false" outlineLevel="0" collapsed="false">
      <c r="A416" s="12"/>
      <c r="B416" s="7"/>
      <c r="C416" s="7"/>
      <c r="D416" s="7"/>
      <c r="E416" s="8"/>
      <c r="G416" s="0" t="str">
        <f aca="false">IF(B416="","",IFERROR(VLOOKUP(B416,Справочники!$A$4:$C$18,2,FALSE()),"нет в справочнике"))</f>
        <v/>
      </c>
      <c r="H416" s="13" t="str">
        <f aca="false">IF(A416="","",DATE(YEAR(A416),MONTH(A416),1))</f>
        <v/>
      </c>
    </row>
    <row r="417" customFormat="false" ht="15" hidden="false" customHeight="false" outlineLevel="0" collapsed="false">
      <c r="A417" s="12"/>
      <c r="B417" s="7"/>
      <c r="C417" s="7"/>
      <c r="D417" s="7"/>
      <c r="E417" s="8"/>
      <c r="G417" s="0" t="str">
        <f aca="false">IF(B417="","",IFERROR(VLOOKUP(B417,Справочники!$A$4:$C$18,2,FALSE()),"нет в справочнике"))</f>
        <v/>
      </c>
      <c r="H417" s="13" t="str">
        <f aca="false">IF(A417="","",DATE(YEAR(A417),MONTH(A417),1))</f>
        <v/>
      </c>
    </row>
    <row r="418" customFormat="false" ht="15" hidden="false" customHeight="false" outlineLevel="0" collapsed="false">
      <c r="A418" s="12"/>
      <c r="B418" s="7"/>
      <c r="C418" s="7"/>
      <c r="D418" s="7"/>
      <c r="E418" s="8"/>
      <c r="G418" s="0" t="str">
        <f aca="false">IF(B418="","",IFERROR(VLOOKUP(B418,Справочники!$A$4:$C$18,2,FALSE()),"нет в справочнике"))</f>
        <v/>
      </c>
      <c r="H418" s="13" t="str">
        <f aca="false">IF(A418="","",DATE(YEAR(A418),MONTH(A418),1))</f>
        <v/>
      </c>
    </row>
    <row r="419" customFormat="false" ht="15" hidden="false" customHeight="false" outlineLevel="0" collapsed="false">
      <c r="A419" s="12"/>
      <c r="B419" s="7"/>
      <c r="C419" s="7"/>
      <c r="D419" s="7"/>
      <c r="E419" s="8"/>
      <c r="G419" s="0" t="str">
        <f aca="false">IF(B419="","",IFERROR(VLOOKUP(B419,Справочники!$A$4:$C$18,2,FALSE()),"нет в справочнике"))</f>
        <v/>
      </c>
      <c r="H419" s="13" t="str">
        <f aca="false">IF(A419="","",DATE(YEAR(A419),MONTH(A419),1))</f>
        <v/>
      </c>
    </row>
    <row r="420" customFormat="false" ht="15" hidden="false" customHeight="false" outlineLevel="0" collapsed="false">
      <c r="A420" s="12"/>
      <c r="B420" s="7"/>
      <c r="C420" s="7"/>
      <c r="D420" s="7"/>
      <c r="E420" s="8"/>
      <c r="G420" s="0" t="str">
        <f aca="false">IF(B420="","",IFERROR(VLOOKUP(B420,Справочники!$A$4:$C$18,2,FALSE()),"нет в справочнике"))</f>
        <v/>
      </c>
      <c r="H420" s="13" t="str">
        <f aca="false">IF(A420="","",DATE(YEAR(A420),MONTH(A420),1))</f>
        <v/>
      </c>
    </row>
    <row r="421" customFormat="false" ht="15" hidden="false" customHeight="false" outlineLevel="0" collapsed="false">
      <c r="A421" s="12"/>
      <c r="B421" s="7"/>
      <c r="C421" s="7"/>
      <c r="D421" s="7"/>
      <c r="E421" s="8"/>
      <c r="G421" s="0" t="str">
        <f aca="false">IF(B421="","",IFERROR(VLOOKUP(B421,Справочники!$A$4:$C$18,2,FALSE()),"нет в справочнике"))</f>
        <v/>
      </c>
      <c r="H421" s="13" t="str">
        <f aca="false">IF(A421="","",DATE(YEAR(A421),MONTH(A421),1))</f>
        <v/>
      </c>
    </row>
    <row r="422" customFormat="false" ht="15" hidden="false" customHeight="false" outlineLevel="0" collapsed="false">
      <c r="A422" s="12"/>
      <c r="B422" s="7"/>
      <c r="C422" s="7"/>
      <c r="D422" s="7"/>
      <c r="E422" s="8"/>
      <c r="G422" s="0" t="str">
        <f aca="false">IF(B422="","",IFERROR(VLOOKUP(B422,Справочники!$A$4:$C$18,2,FALSE()),"нет в справочнике"))</f>
        <v/>
      </c>
      <c r="H422" s="13" t="str">
        <f aca="false">IF(A422="","",DATE(YEAR(A422),MONTH(A422),1))</f>
        <v/>
      </c>
    </row>
    <row r="423" customFormat="false" ht="15" hidden="false" customHeight="false" outlineLevel="0" collapsed="false">
      <c r="A423" s="12"/>
      <c r="B423" s="7"/>
      <c r="C423" s="7"/>
      <c r="D423" s="7"/>
      <c r="E423" s="8"/>
      <c r="G423" s="0" t="str">
        <f aca="false">IF(B423="","",IFERROR(VLOOKUP(B423,Справочники!$A$4:$C$18,2,FALSE()),"нет в справочнике"))</f>
        <v/>
      </c>
      <c r="H423" s="13" t="str">
        <f aca="false">IF(A423="","",DATE(YEAR(A423),MONTH(A423),1))</f>
        <v/>
      </c>
    </row>
    <row r="424" customFormat="false" ht="15" hidden="false" customHeight="false" outlineLevel="0" collapsed="false">
      <c r="A424" s="12"/>
      <c r="B424" s="7"/>
      <c r="C424" s="7"/>
      <c r="D424" s="7"/>
      <c r="E424" s="8"/>
      <c r="G424" s="0" t="str">
        <f aca="false">IF(B424="","",IFERROR(VLOOKUP(B424,Справочники!$A$4:$C$18,2,FALSE()),"нет в справочнике"))</f>
        <v/>
      </c>
      <c r="H424" s="13" t="str">
        <f aca="false">IF(A424="","",DATE(YEAR(A424),MONTH(A424),1))</f>
        <v/>
      </c>
    </row>
    <row r="425" customFormat="false" ht="15" hidden="false" customHeight="false" outlineLevel="0" collapsed="false">
      <c r="A425" s="12"/>
      <c r="B425" s="7"/>
      <c r="C425" s="7"/>
      <c r="D425" s="7"/>
      <c r="E425" s="8"/>
      <c r="G425" s="0" t="str">
        <f aca="false">IF(B425="","",IFERROR(VLOOKUP(B425,Справочники!$A$4:$C$18,2,FALSE()),"нет в справочнике"))</f>
        <v/>
      </c>
      <c r="H425" s="13" t="str">
        <f aca="false">IF(A425="","",DATE(YEAR(A425),MONTH(A425),1))</f>
        <v/>
      </c>
    </row>
    <row r="426" customFormat="false" ht="15" hidden="false" customHeight="false" outlineLevel="0" collapsed="false">
      <c r="A426" s="12"/>
      <c r="B426" s="7"/>
      <c r="C426" s="7"/>
      <c r="D426" s="7"/>
      <c r="E426" s="8"/>
      <c r="G426" s="0" t="str">
        <f aca="false">IF(B426="","",IFERROR(VLOOKUP(B426,Справочники!$A$4:$C$18,2,FALSE()),"нет в справочнике"))</f>
        <v/>
      </c>
      <c r="H426" s="13" t="str">
        <f aca="false">IF(A426="","",DATE(YEAR(A426),MONTH(A426),1))</f>
        <v/>
      </c>
    </row>
    <row r="427" customFormat="false" ht="15" hidden="false" customHeight="false" outlineLevel="0" collapsed="false">
      <c r="A427" s="12"/>
      <c r="B427" s="7"/>
      <c r="C427" s="7"/>
      <c r="D427" s="7"/>
      <c r="E427" s="8"/>
      <c r="G427" s="0" t="str">
        <f aca="false">IF(B427="","",IFERROR(VLOOKUP(B427,Справочники!$A$4:$C$18,2,FALSE()),"нет в справочнике"))</f>
        <v/>
      </c>
      <c r="H427" s="13" t="str">
        <f aca="false">IF(A427="","",DATE(YEAR(A427),MONTH(A427),1))</f>
        <v/>
      </c>
    </row>
    <row r="428" customFormat="false" ht="15" hidden="false" customHeight="false" outlineLevel="0" collapsed="false">
      <c r="A428" s="12"/>
      <c r="B428" s="7"/>
      <c r="C428" s="7"/>
      <c r="D428" s="7"/>
      <c r="E428" s="8"/>
      <c r="G428" s="0" t="str">
        <f aca="false">IF(B428="","",IFERROR(VLOOKUP(B428,Справочники!$A$4:$C$18,2,FALSE()),"нет в справочнике"))</f>
        <v/>
      </c>
      <c r="H428" s="13" t="str">
        <f aca="false">IF(A428="","",DATE(YEAR(A428),MONTH(A428),1))</f>
        <v/>
      </c>
    </row>
    <row r="429" customFormat="false" ht="15" hidden="false" customHeight="false" outlineLevel="0" collapsed="false">
      <c r="A429" s="12"/>
      <c r="B429" s="7"/>
      <c r="C429" s="7"/>
      <c r="D429" s="7"/>
      <c r="E429" s="8"/>
      <c r="G429" s="0" t="str">
        <f aca="false">IF(B429="","",IFERROR(VLOOKUP(B429,Справочники!$A$4:$C$18,2,FALSE()),"нет в справочнике"))</f>
        <v/>
      </c>
      <c r="H429" s="13" t="str">
        <f aca="false">IF(A429="","",DATE(YEAR(A429),MONTH(A429),1))</f>
        <v/>
      </c>
    </row>
    <row r="430" customFormat="false" ht="15" hidden="false" customHeight="false" outlineLevel="0" collapsed="false">
      <c r="A430" s="12"/>
      <c r="B430" s="7"/>
      <c r="C430" s="7"/>
      <c r="D430" s="7"/>
      <c r="E430" s="8"/>
      <c r="G430" s="0" t="str">
        <f aca="false">IF(B430="","",IFERROR(VLOOKUP(B430,Справочники!$A$4:$C$18,2,FALSE()),"нет в справочнике"))</f>
        <v/>
      </c>
      <c r="H430" s="13" t="str">
        <f aca="false">IF(A430="","",DATE(YEAR(A430),MONTH(A430),1))</f>
        <v/>
      </c>
    </row>
    <row r="431" customFormat="false" ht="15" hidden="false" customHeight="false" outlineLevel="0" collapsed="false">
      <c r="A431" s="12"/>
      <c r="B431" s="7"/>
      <c r="C431" s="7"/>
      <c r="D431" s="7"/>
      <c r="E431" s="8"/>
      <c r="G431" s="0" t="str">
        <f aca="false">IF(B431="","",IFERROR(VLOOKUP(B431,Справочники!$A$4:$C$18,2,FALSE()),"нет в справочнике"))</f>
        <v/>
      </c>
      <c r="H431" s="13" t="str">
        <f aca="false">IF(A431="","",DATE(YEAR(A431),MONTH(A431),1))</f>
        <v/>
      </c>
    </row>
    <row r="432" customFormat="false" ht="15" hidden="false" customHeight="false" outlineLevel="0" collapsed="false">
      <c r="A432" s="12"/>
      <c r="B432" s="7"/>
      <c r="C432" s="7"/>
      <c r="D432" s="7"/>
      <c r="E432" s="8"/>
      <c r="G432" s="0" t="str">
        <f aca="false">IF(B432="","",IFERROR(VLOOKUP(B432,Справочники!$A$4:$C$18,2,FALSE()),"нет в справочнике"))</f>
        <v/>
      </c>
      <c r="H432" s="13" t="str">
        <f aca="false">IF(A432="","",DATE(YEAR(A432),MONTH(A432),1))</f>
        <v/>
      </c>
    </row>
    <row r="433" customFormat="false" ht="15" hidden="false" customHeight="false" outlineLevel="0" collapsed="false">
      <c r="A433" s="12"/>
      <c r="B433" s="7"/>
      <c r="C433" s="7"/>
      <c r="D433" s="7"/>
      <c r="E433" s="8"/>
      <c r="G433" s="0" t="str">
        <f aca="false">IF(B433="","",IFERROR(VLOOKUP(B433,Справочники!$A$4:$C$18,2,FALSE()),"нет в справочнике"))</f>
        <v/>
      </c>
      <c r="H433" s="13" t="str">
        <f aca="false">IF(A433="","",DATE(YEAR(A433),MONTH(A433),1))</f>
        <v/>
      </c>
    </row>
    <row r="434" customFormat="false" ht="15" hidden="false" customHeight="false" outlineLevel="0" collapsed="false">
      <c r="A434" s="12"/>
      <c r="B434" s="7"/>
      <c r="C434" s="7"/>
      <c r="D434" s="7"/>
      <c r="E434" s="8"/>
      <c r="G434" s="0" t="str">
        <f aca="false">IF(B434="","",IFERROR(VLOOKUP(B434,Справочники!$A$4:$C$18,2,FALSE()),"нет в справочнике"))</f>
        <v/>
      </c>
      <c r="H434" s="13" t="str">
        <f aca="false">IF(A434="","",DATE(YEAR(A434),MONTH(A434),1))</f>
        <v/>
      </c>
    </row>
    <row r="435" customFormat="false" ht="15" hidden="false" customHeight="false" outlineLevel="0" collapsed="false">
      <c r="A435" s="12"/>
      <c r="B435" s="7"/>
      <c r="C435" s="7"/>
      <c r="D435" s="7"/>
      <c r="E435" s="8"/>
      <c r="G435" s="0" t="str">
        <f aca="false">IF(B435="","",IFERROR(VLOOKUP(B435,Справочники!$A$4:$C$18,2,FALSE()),"нет в справочнике"))</f>
        <v/>
      </c>
      <c r="H435" s="13" t="str">
        <f aca="false">IF(A435="","",DATE(YEAR(A435),MONTH(A435),1))</f>
        <v/>
      </c>
    </row>
    <row r="436" customFormat="false" ht="15" hidden="false" customHeight="false" outlineLevel="0" collapsed="false">
      <c r="A436" s="12"/>
      <c r="B436" s="7"/>
      <c r="C436" s="7"/>
      <c r="D436" s="7"/>
      <c r="E436" s="8"/>
      <c r="G436" s="0" t="str">
        <f aca="false">IF(B436="","",IFERROR(VLOOKUP(B436,Справочники!$A$4:$C$18,2,FALSE()),"нет в справочнике"))</f>
        <v/>
      </c>
      <c r="H436" s="13" t="str">
        <f aca="false">IF(A436="","",DATE(YEAR(A436),MONTH(A436),1))</f>
        <v/>
      </c>
    </row>
    <row r="437" customFormat="false" ht="15" hidden="false" customHeight="false" outlineLevel="0" collapsed="false">
      <c r="A437" s="12"/>
      <c r="B437" s="7"/>
      <c r="C437" s="7"/>
      <c r="D437" s="7"/>
      <c r="E437" s="8"/>
      <c r="G437" s="0" t="str">
        <f aca="false">IF(B437="","",IFERROR(VLOOKUP(B437,Справочники!$A$4:$C$18,2,FALSE()),"нет в справочнике"))</f>
        <v/>
      </c>
      <c r="H437" s="13" t="str">
        <f aca="false">IF(A437="","",DATE(YEAR(A437),MONTH(A437),1))</f>
        <v/>
      </c>
    </row>
    <row r="438" customFormat="false" ht="15" hidden="false" customHeight="false" outlineLevel="0" collapsed="false">
      <c r="A438" s="12"/>
      <c r="B438" s="7"/>
      <c r="C438" s="7"/>
      <c r="D438" s="7"/>
      <c r="E438" s="8"/>
      <c r="G438" s="0" t="str">
        <f aca="false">IF(B438="","",IFERROR(VLOOKUP(B438,Справочники!$A$4:$C$18,2,FALSE()),"нет в справочнике"))</f>
        <v/>
      </c>
      <c r="H438" s="13" t="str">
        <f aca="false">IF(A438="","",DATE(YEAR(A438),MONTH(A438),1))</f>
        <v/>
      </c>
    </row>
    <row r="439" customFormat="false" ht="15" hidden="false" customHeight="false" outlineLevel="0" collapsed="false">
      <c r="A439" s="12"/>
      <c r="B439" s="7"/>
      <c r="C439" s="7"/>
      <c r="D439" s="7"/>
      <c r="E439" s="8"/>
      <c r="G439" s="0" t="str">
        <f aca="false">IF(B439="","",IFERROR(VLOOKUP(B439,Справочники!$A$4:$C$18,2,FALSE()),"нет в справочнике"))</f>
        <v/>
      </c>
      <c r="H439" s="13" t="str">
        <f aca="false">IF(A439="","",DATE(YEAR(A439),MONTH(A439),1))</f>
        <v/>
      </c>
    </row>
    <row r="440" customFormat="false" ht="15" hidden="false" customHeight="false" outlineLevel="0" collapsed="false">
      <c r="A440" s="12"/>
      <c r="B440" s="7"/>
      <c r="C440" s="7"/>
      <c r="D440" s="7"/>
      <c r="E440" s="8"/>
      <c r="G440" s="0" t="str">
        <f aca="false">IF(B440="","",IFERROR(VLOOKUP(B440,Справочники!$A$4:$C$18,2,FALSE()),"нет в справочнике"))</f>
        <v/>
      </c>
      <c r="H440" s="13" t="str">
        <f aca="false">IF(A440="","",DATE(YEAR(A440),MONTH(A440),1))</f>
        <v/>
      </c>
    </row>
    <row r="441" customFormat="false" ht="15" hidden="false" customHeight="false" outlineLevel="0" collapsed="false">
      <c r="A441" s="12"/>
      <c r="B441" s="7"/>
      <c r="C441" s="7"/>
      <c r="D441" s="7"/>
      <c r="E441" s="8"/>
      <c r="G441" s="0" t="str">
        <f aca="false">IF(B441="","",IFERROR(VLOOKUP(B441,Справочники!$A$4:$C$18,2,FALSE()),"нет в справочнике"))</f>
        <v/>
      </c>
      <c r="H441" s="13" t="str">
        <f aca="false">IF(A441="","",DATE(YEAR(A441),MONTH(A441),1))</f>
        <v/>
      </c>
    </row>
    <row r="442" customFormat="false" ht="15" hidden="false" customHeight="false" outlineLevel="0" collapsed="false">
      <c r="B442" s="7"/>
      <c r="C442" s="7"/>
      <c r="D442" s="7"/>
    </row>
    <row r="443" customFormat="false" ht="15" hidden="false" customHeight="false" outlineLevel="0" collapsed="false">
      <c r="B443" s="7"/>
      <c r="C443" s="7"/>
      <c r="D443" s="7"/>
    </row>
    <row r="444" customFormat="false" ht="15" hidden="false" customHeight="false" outlineLevel="0" collapsed="false">
      <c r="B444" s="7"/>
      <c r="C444" s="7"/>
      <c r="D444" s="7"/>
    </row>
    <row r="445" customFormat="false" ht="15" hidden="false" customHeight="false" outlineLevel="0" collapsed="false">
      <c r="B445" s="7"/>
      <c r="C445" s="7"/>
      <c r="D445" s="7"/>
    </row>
    <row r="446" customFormat="false" ht="15" hidden="false" customHeight="false" outlineLevel="0" collapsed="false">
      <c r="B446" s="7"/>
      <c r="C446" s="7"/>
      <c r="D446" s="7"/>
    </row>
    <row r="447" customFormat="false" ht="15" hidden="false" customHeight="false" outlineLevel="0" collapsed="false">
      <c r="B447" s="7"/>
      <c r="C447" s="7"/>
      <c r="D447" s="7"/>
    </row>
    <row r="448" customFormat="false" ht="15" hidden="false" customHeight="false" outlineLevel="0" collapsed="false">
      <c r="B448" s="7"/>
      <c r="C448" s="7"/>
      <c r="D448" s="7"/>
    </row>
    <row r="449" customFormat="false" ht="15" hidden="false" customHeight="false" outlineLevel="0" collapsed="false">
      <c r="B449" s="7"/>
      <c r="C449" s="7"/>
      <c r="D449" s="7"/>
    </row>
    <row r="450" customFormat="false" ht="15" hidden="false" customHeight="false" outlineLevel="0" collapsed="false">
      <c r="B450" s="7"/>
      <c r="C450" s="7"/>
      <c r="D450" s="7"/>
    </row>
    <row r="451" customFormat="false" ht="15" hidden="false" customHeight="false" outlineLevel="0" collapsed="false">
      <c r="B451" s="7"/>
      <c r="C451" s="7"/>
      <c r="D451" s="7"/>
    </row>
    <row r="452" customFormat="false" ht="15" hidden="false" customHeight="false" outlineLevel="0" collapsed="false">
      <c r="B452" s="7"/>
      <c r="C452" s="7"/>
      <c r="D452" s="7"/>
    </row>
    <row r="453" customFormat="false" ht="15" hidden="false" customHeight="false" outlineLevel="0" collapsed="false">
      <c r="B453" s="7"/>
      <c r="C453" s="7"/>
      <c r="D453" s="7"/>
    </row>
    <row r="454" customFormat="false" ht="15" hidden="false" customHeight="false" outlineLevel="0" collapsed="false">
      <c r="B454" s="7"/>
      <c r="C454" s="7"/>
      <c r="D454" s="7"/>
    </row>
    <row r="455" customFormat="false" ht="15" hidden="false" customHeight="false" outlineLevel="0" collapsed="false">
      <c r="B455" s="7"/>
      <c r="C455" s="7"/>
      <c r="D455" s="7"/>
    </row>
    <row r="456" customFormat="false" ht="15" hidden="false" customHeight="false" outlineLevel="0" collapsed="false">
      <c r="B456" s="7"/>
      <c r="C456" s="7"/>
      <c r="D456" s="7"/>
    </row>
    <row r="457" customFormat="false" ht="15" hidden="false" customHeight="false" outlineLevel="0" collapsed="false">
      <c r="B457" s="7"/>
      <c r="C457" s="7"/>
      <c r="D457" s="7"/>
    </row>
    <row r="458" customFormat="false" ht="15" hidden="false" customHeight="false" outlineLevel="0" collapsed="false">
      <c r="B458" s="7"/>
      <c r="C458" s="7"/>
      <c r="D458" s="7"/>
    </row>
    <row r="459" customFormat="false" ht="15" hidden="false" customHeight="false" outlineLevel="0" collapsed="false">
      <c r="B459" s="7"/>
      <c r="C459" s="7"/>
      <c r="D459" s="7"/>
    </row>
    <row r="460" customFormat="false" ht="15" hidden="false" customHeight="false" outlineLevel="0" collapsed="false">
      <c r="B460" s="7"/>
      <c r="C460" s="7"/>
      <c r="D460" s="7"/>
    </row>
    <row r="461" customFormat="false" ht="15" hidden="false" customHeight="false" outlineLevel="0" collapsed="false">
      <c r="B461" s="7"/>
      <c r="C461" s="7"/>
      <c r="D461" s="7"/>
    </row>
    <row r="462" customFormat="false" ht="15" hidden="false" customHeight="false" outlineLevel="0" collapsed="false">
      <c r="B462" s="7"/>
      <c r="C462" s="7"/>
      <c r="D462" s="7"/>
    </row>
    <row r="463" customFormat="false" ht="15" hidden="false" customHeight="false" outlineLevel="0" collapsed="false">
      <c r="B463" s="7"/>
      <c r="C463" s="7"/>
      <c r="D463" s="7"/>
    </row>
    <row r="464" customFormat="false" ht="15" hidden="false" customHeight="false" outlineLevel="0" collapsed="false">
      <c r="B464" s="7"/>
      <c r="C464" s="7"/>
      <c r="D464" s="7"/>
    </row>
    <row r="465" customFormat="false" ht="15" hidden="false" customHeight="false" outlineLevel="0" collapsed="false">
      <c r="B465" s="7"/>
      <c r="C465" s="7"/>
      <c r="D465" s="7"/>
    </row>
    <row r="466" customFormat="false" ht="15" hidden="false" customHeight="false" outlineLevel="0" collapsed="false">
      <c r="B466" s="7"/>
      <c r="C466" s="7"/>
      <c r="D466" s="7"/>
    </row>
    <row r="467" customFormat="false" ht="15" hidden="false" customHeight="false" outlineLevel="0" collapsed="false">
      <c r="B467" s="7"/>
      <c r="C467" s="7"/>
      <c r="D467" s="7"/>
    </row>
    <row r="468" customFormat="false" ht="15" hidden="false" customHeight="false" outlineLevel="0" collapsed="false">
      <c r="B468" s="7"/>
      <c r="C468" s="7"/>
      <c r="D468" s="7"/>
    </row>
    <row r="469" customFormat="false" ht="15" hidden="false" customHeight="false" outlineLevel="0" collapsed="false">
      <c r="B469" s="7"/>
      <c r="C469" s="7"/>
      <c r="D469" s="7"/>
    </row>
    <row r="470" customFormat="false" ht="15" hidden="false" customHeight="false" outlineLevel="0" collapsed="false">
      <c r="B470" s="7"/>
      <c r="C470" s="7"/>
      <c r="D470" s="7"/>
    </row>
    <row r="471" customFormat="false" ht="15" hidden="false" customHeight="false" outlineLevel="0" collapsed="false">
      <c r="B471" s="7"/>
      <c r="C471" s="7"/>
      <c r="D471" s="7"/>
    </row>
    <row r="472" customFormat="false" ht="15" hidden="false" customHeight="false" outlineLevel="0" collapsed="false">
      <c r="B472" s="7"/>
      <c r="C472" s="7"/>
      <c r="D472" s="7"/>
    </row>
    <row r="473" customFormat="false" ht="15" hidden="false" customHeight="false" outlineLevel="0" collapsed="false">
      <c r="B473" s="7"/>
      <c r="C473" s="7"/>
      <c r="D473" s="7"/>
    </row>
    <row r="474" customFormat="false" ht="15" hidden="false" customHeight="false" outlineLevel="0" collapsed="false">
      <c r="B474" s="7"/>
      <c r="C474" s="7"/>
      <c r="D474" s="7"/>
    </row>
    <row r="475" customFormat="false" ht="15" hidden="false" customHeight="false" outlineLevel="0" collapsed="false">
      <c r="B475" s="7"/>
      <c r="C475" s="7"/>
      <c r="D475" s="7"/>
    </row>
    <row r="476" customFormat="false" ht="15" hidden="false" customHeight="false" outlineLevel="0" collapsed="false">
      <c r="B476" s="7"/>
      <c r="C476" s="7"/>
      <c r="D476" s="7"/>
    </row>
    <row r="477" customFormat="false" ht="15" hidden="false" customHeight="false" outlineLevel="0" collapsed="false">
      <c r="B477" s="7"/>
      <c r="C477" s="7"/>
      <c r="D477" s="7"/>
    </row>
    <row r="478" customFormat="false" ht="15" hidden="false" customHeight="false" outlineLevel="0" collapsed="false">
      <c r="B478" s="7"/>
      <c r="C478" s="7"/>
      <c r="D478" s="7"/>
    </row>
    <row r="479" customFormat="false" ht="15" hidden="false" customHeight="false" outlineLevel="0" collapsed="false">
      <c r="B479" s="7"/>
      <c r="C479" s="7"/>
      <c r="D479" s="7"/>
    </row>
    <row r="480" customFormat="false" ht="15" hidden="false" customHeight="false" outlineLevel="0" collapsed="false">
      <c r="B480" s="7"/>
      <c r="C480" s="7"/>
      <c r="D480" s="7"/>
    </row>
    <row r="481" customFormat="false" ht="15" hidden="false" customHeight="false" outlineLevel="0" collapsed="false">
      <c r="B481" s="7"/>
      <c r="C481" s="7"/>
      <c r="D481" s="7"/>
    </row>
    <row r="482" customFormat="false" ht="15" hidden="false" customHeight="false" outlineLevel="0" collapsed="false">
      <c r="B482" s="7"/>
      <c r="C482" s="7"/>
      <c r="D482" s="7"/>
    </row>
    <row r="483" customFormat="false" ht="15" hidden="false" customHeight="false" outlineLevel="0" collapsed="false">
      <c r="B483" s="7"/>
      <c r="C483" s="7"/>
      <c r="D483" s="7"/>
    </row>
    <row r="484" customFormat="false" ht="15" hidden="false" customHeight="false" outlineLevel="0" collapsed="false">
      <c r="B484" s="7"/>
      <c r="C484" s="7"/>
      <c r="D484" s="7"/>
    </row>
    <row r="485" customFormat="false" ht="15" hidden="false" customHeight="false" outlineLevel="0" collapsed="false">
      <c r="B485" s="7"/>
      <c r="C485" s="7"/>
      <c r="D485" s="7"/>
    </row>
    <row r="486" customFormat="false" ht="15" hidden="false" customHeight="false" outlineLevel="0" collapsed="false">
      <c r="B486" s="7"/>
      <c r="C486" s="7"/>
      <c r="D486" s="7"/>
    </row>
    <row r="487" customFormat="false" ht="15" hidden="false" customHeight="false" outlineLevel="0" collapsed="false">
      <c r="B487" s="7"/>
      <c r="C487" s="7"/>
      <c r="D487" s="7"/>
    </row>
    <row r="488" customFormat="false" ht="15" hidden="false" customHeight="false" outlineLevel="0" collapsed="false">
      <c r="B488" s="7"/>
      <c r="C488" s="7"/>
      <c r="D488" s="7"/>
    </row>
    <row r="489" customFormat="false" ht="15" hidden="false" customHeight="false" outlineLevel="0" collapsed="false">
      <c r="B489" s="7"/>
      <c r="C489" s="7"/>
      <c r="D489" s="7"/>
    </row>
    <row r="490" customFormat="false" ht="15" hidden="false" customHeight="false" outlineLevel="0" collapsed="false">
      <c r="B490" s="7"/>
      <c r="C490" s="7"/>
      <c r="D490" s="7"/>
    </row>
    <row r="491" customFormat="false" ht="15" hidden="false" customHeight="false" outlineLevel="0" collapsed="false">
      <c r="B491" s="7"/>
      <c r="C491" s="7"/>
      <c r="D491" s="7"/>
    </row>
    <row r="492" customFormat="false" ht="15" hidden="false" customHeight="false" outlineLevel="0" collapsed="false">
      <c r="B492" s="7"/>
      <c r="C492" s="7"/>
      <c r="D492" s="7"/>
    </row>
    <row r="493" customFormat="false" ht="15" hidden="false" customHeight="false" outlineLevel="0" collapsed="false">
      <c r="B493" s="7"/>
      <c r="C493" s="7"/>
      <c r="D493" s="7"/>
    </row>
    <row r="494" customFormat="false" ht="15" hidden="false" customHeight="false" outlineLevel="0" collapsed="false">
      <c r="B494" s="7"/>
      <c r="C494" s="7"/>
      <c r="D494" s="7"/>
    </row>
    <row r="495" customFormat="false" ht="15" hidden="false" customHeight="false" outlineLevel="0" collapsed="false">
      <c r="B495" s="7"/>
      <c r="C495" s="7"/>
      <c r="D495" s="7"/>
    </row>
    <row r="496" customFormat="false" ht="15" hidden="false" customHeight="false" outlineLevel="0" collapsed="false">
      <c r="B496" s="7"/>
      <c r="C496" s="7"/>
      <c r="D496" s="7"/>
    </row>
    <row r="497" customFormat="false" ht="15" hidden="false" customHeight="false" outlineLevel="0" collapsed="false">
      <c r="B497" s="7"/>
      <c r="C497" s="7"/>
      <c r="D497" s="7"/>
    </row>
    <row r="498" customFormat="false" ht="15" hidden="false" customHeight="false" outlineLevel="0" collapsed="false">
      <c r="B498" s="7"/>
      <c r="C498" s="7"/>
      <c r="D498" s="7"/>
    </row>
    <row r="499" customFormat="false" ht="15" hidden="false" customHeight="false" outlineLevel="0" collapsed="false">
      <c r="B499" s="7"/>
      <c r="C499" s="7"/>
      <c r="D499" s="7"/>
    </row>
    <row r="500" customFormat="false" ht="15" hidden="false" customHeight="false" outlineLevel="0" collapsed="false">
      <c r="B500" s="7"/>
      <c r="C500" s="7"/>
      <c r="D500" s="7"/>
    </row>
    <row r="501" customFormat="false" ht="15" hidden="false" customHeight="false" outlineLevel="0" collapsed="false">
      <c r="B501" s="7"/>
      <c r="C501" s="7"/>
      <c r="D501" s="7"/>
    </row>
    <row r="502" customFormat="false" ht="15" hidden="false" customHeight="false" outlineLevel="0" collapsed="false">
      <c r="B502" s="7"/>
      <c r="C502" s="7"/>
      <c r="D502" s="7"/>
    </row>
    <row r="503" customFormat="false" ht="15" hidden="false" customHeight="false" outlineLevel="0" collapsed="false">
      <c r="B503" s="7"/>
      <c r="C503" s="7"/>
      <c r="D503" s="7"/>
    </row>
    <row r="504" customFormat="false" ht="15" hidden="false" customHeight="false" outlineLevel="0" collapsed="false">
      <c r="B504" s="7"/>
      <c r="C504" s="7"/>
      <c r="D504" s="7"/>
    </row>
    <row r="505" customFormat="false" ht="15" hidden="false" customHeight="false" outlineLevel="0" collapsed="false">
      <c r="B505" s="7"/>
      <c r="C505" s="7"/>
      <c r="D505" s="7"/>
    </row>
    <row r="506" customFormat="false" ht="15" hidden="false" customHeight="false" outlineLevel="0" collapsed="false">
      <c r="B506" s="7"/>
      <c r="C506" s="7"/>
      <c r="D506" s="7"/>
    </row>
    <row r="507" customFormat="false" ht="15" hidden="false" customHeight="false" outlineLevel="0" collapsed="false">
      <c r="B507" s="7"/>
      <c r="C507" s="7"/>
      <c r="D507" s="7"/>
    </row>
    <row r="508" customFormat="false" ht="15" hidden="false" customHeight="false" outlineLevel="0" collapsed="false">
      <c r="B508" s="7"/>
      <c r="C508" s="7"/>
      <c r="D508" s="7"/>
    </row>
    <row r="509" customFormat="false" ht="15" hidden="false" customHeight="false" outlineLevel="0" collapsed="false">
      <c r="B509" s="7"/>
      <c r="C509" s="7"/>
      <c r="D509" s="7"/>
    </row>
    <row r="510" customFormat="false" ht="15" hidden="false" customHeight="false" outlineLevel="0" collapsed="false">
      <c r="B510" s="7"/>
      <c r="C510" s="7"/>
      <c r="D510" s="7"/>
    </row>
    <row r="511" customFormat="false" ht="15" hidden="false" customHeight="false" outlineLevel="0" collapsed="false">
      <c r="B511" s="7"/>
      <c r="C511" s="7"/>
      <c r="D511" s="7"/>
    </row>
    <row r="512" customFormat="false" ht="15" hidden="false" customHeight="false" outlineLevel="0" collapsed="false">
      <c r="B512" s="7"/>
      <c r="C512" s="7"/>
      <c r="D512" s="7"/>
    </row>
    <row r="513" customFormat="false" ht="15" hidden="false" customHeight="false" outlineLevel="0" collapsed="false">
      <c r="B513" s="7"/>
      <c r="C513" s="7"/>
      <c r="D513" s="7"/>
    </row>
    <row r="514" customFormat="false" ht="15" hidden="false" customHeight="false" outlineLevel="0" collapsed="false">
      <c r="B514" s="7"/>
      <c r="C514" s="7"/>
      <c r="D514" s="7"/>
    </row>
    <row r="515" customFormat="false" ht="15" hidden="false" customHeight="false" outlineLevel="0" collapsed="false">
      <c r="B515" s="7"/>
      <c r="C515" s="7"/>
      <c r="D515" s="7"/>
    </row>
    <row r="516" customFormat="false" ht="15" hidden="false" customHeight="false" outlineLevel="0" collapsed="false">
      <c r="B516" s="7"/>
      <c r="C516" s="7"/>
      <c r="D516" s="7"/>
    </row>
    <row r="517" customFormat="false" ht="15" hidden="false" customHeight="false" outlineLevel="0" collapsed="false">
      <c r="B517" s="7"/>
      <c r="C517" s="7"/>
      <c r="D517" s="7"/>
    </row>
    <row r="518" customFormat="false" ht="15" hidden="false" customHeight="false" outlineLevel="0" collapsed="false">
      <c r="B518" s="7"/>
      <c r="C518" s="7"/>
      <c r="D518" s="7"/>
    </row>
    <row r="519" customFormat="false" ht="15" hidden="false" customHeight="false" outlineLevel="0" collapsed="false">
      <c r="B519" s="7"/>
      <c r="C519" s="7"/>
      <c r="D519" s="7"/>
    </row>
    <row r="520" customFormat="false" ht="15" hidden="false" customHeight="false" outlineLevel="0" collapsed="false">
      <c r="B520" s="7"/>
      <c r="C520" s="7"/>
      <c r="D520" s="7"/>
    </row>
    <row r="521" customFormat="false" ht="15" hidden="false" customHeight="false" outlineLevel="0" collapsed="false">
      <c r="B521" s="7"/>
      <c r="C521" s="7"/>
      <c r="D521" s="7"/>
    </row>
    <row r="522" customFormat="false" ht="15" hidden="false" customHeight="false" outlineLevel="0" collapsed="false">
      <c r="B522" s="7"/>
      <c r="C522" s="7"/>
      <c r="D522" s="7"/>
    </row>
    <row r="523" customFormat="false" ht="15" hidden="false" customHeight="false" outlineLevel="0" collapsed="false">
      <c r="B523" s="7"/>
      <c r="C523" s="7"/>
      <c r="D523" s="7"/>
    </row>
    <row r="524" customFormat="false" ht="15" hidden="false" customHeight="false" outlineLevel="0" collapsed="false">
      <c r="B524" s="7"/>
      <c r="C524" s="7"/>
      <c r="D524" s="7"/>
    </row>
    <row r="525" customFormat="false" ht="15" hidden="false" customHeight="false" outlineLevel="0" collapsed="false">
      <c r="B525" s="7"/>
      <c r="C525" s="7"/>
      <c r="D525" s="7"/>
    </row>
    <row r="526" customFormat="false" ht="15" hidden="false" customHeight="false" outlineLevel="0" collapsed="false">
      <c r="B526" s="7"/>
      <c r="C526" s="7"/>
      <c r="D526" s="7"/>
    </row>
    <row r="527" customFormat="false" ht="15" hidden="false" customHeight="false" outlineLevel="0" collapsed="false">
      <c r="B527" s="7"/>
      <c r="C527" s="7"/>
      <c r="D527" s="7"/>
    </row>
    <row r="528" customFormat="false" ht="15" hidden="false" customHeight="false" outlineLevel="0" collapsed="false">
      <c r="B528" s="7"/>
      <c r="C528" s="7"/>
      <c r="D528" s="7"/>
    </row>
    <row r="529" customFormat="false" ht="15" hidden="false" customHeight="false" outlineLevel="0" collapsed="false">
      <c r="B529" s="7"/>
      <c r="C529" s="7"/>
      <c r="D529" s="7"/>
    </row>
    <row r="530" customFormat="false" ht="15" hidden="false" customHeight="false" outlineLevel="0" collapsed="false">
      <c r="B530" s="7"/>
      <c r="C530" s="7"/>
      <c r="D530" s="7"/>
    </row>
    <row r="531" customFormat="false" ht="15" hidden="false" customHeight="false" outlineLevel="0" collapsed="false">
      <c r="B531" s="7"/>
      <c r="C531" s="7"/>
      <c r="D531" s="7"/>
    </row>
    <row r="532" customFormat="false" ht="15" hidden="false" customHeight="false" outlineLevel="0" collapsed="false">
      <c r="B532" s="7"/>
      <c r="C532" s="7"/>
      <c r="D532" s="7"/>
    </row>
    <row r="533" customFormat="false" ht="15" hidden="false" customHeight="false" outlineLevel="0" collapsed="false">
      <c r="B533" s="7"/>
      <c r="C533" s="7"/>
      <c r="D533" s="7"/>
    </row>
    <row r="534" customFormat="false" ht="15" hidden="false" customHeight="false" outlineLevel="0" collapsed="false">
      <c r="B534" s="7"/>
      <c r="C534" s="7"/>
      <c r="D534" s="7"/>
    </row>
    <row r="535" customFormat="false" ht="15" hidden="false" customHeight="false" outlineLevel="0" collapsed="false">
      <c r="B535" s="7"/>
      <c r="C535" s="7"/>
      <c r="D535" s="7"/>
    </row>
    <row r="536" customFormat="false" ht="15" hidden="false" customHeight="false" outlineLevel="0" collapsed="false">
      <c r="B536" s="7"/>
      <c r="C536" s="7"/>
      <c r="D536" s="7"/>
    </row>
    <row r="537" customFormat="false" ht="15" hidden="false" customHeight="false" outlineLevel="0" collapsed="false">
      <c r="B537" s="7"/>
      <c r="C537" s="7"/>
      <c r="D537" s="7"/>
    </row>
    <row r="538" customFormat="false" ht="15" hidden="false" customHeight="false" outlineLevel="0" collapsed="false">
      <c r="B538" s="7"/>
      <c r="C538" s="7"/>
      <c r="D538" s="7"/>
    </row>
    <row r="539" customFormat="false" ht="15" hidden="false" customHeight="false" outlineLevel="0" collapsed="false">
      <c r="B539" s="7"/>
      <c r="C539" s="7"/>
      <c r="D539" s="7"/>
    </row>
    <row r="540" customFormat="false" ht="15" hidden="false" customHeight="false" outlineLevel="0" collapsed="false">
      <c r="B540" s="7"/>
      <c r="C540" s="7"/>
      <c r="D540" s="7"/>
    </row>
    <row r="541" customFormat="false" ht="15" hidden="false" customHeight="false" outlineLevel="0" collapsed="false">
      <c r="B541" s="7"/>
      <c r="C541" s="7"/>
      <c r="D541" s="7"/>
    </row>
    <row r="542" customFormat="false" ht="15" hidden="false" customHeight="false" outlineLevel="0" collapsed="false">
      <c r="B542" s="7"/>
      <c r="C542" s="7"/>
      <c r="D542" s="7"/>
    </row>
    <row r="543" customFormat="false" ht="15" hidden="false" customHeight="false" outlineLevel="0" collapsed="false">
      <c r="B543" s="7"/>
      <c r="C543" s="7"/>
      <c r="D543" s="7"/>
    </row>
    <row r="544" customFormat="false" ht="15" hidden="false" customHeight="false" outlineLevel="0" collapsed="false">
      <c r="B544" s="7"/>
      <c r="C544" s="7"/>
      <c r="D544" s="7"/>
    </row>
    <row r="545" customFormat="false" ht="15" hidden="false" customHeight="false" outlineLevel="0" collapsed="false">
      <c r="B545" s="7"/>
      <c r="C545" s="7"/>
      <c r="D545" s="7"/>
    </row>
    <row r="546" customFormat="false" ht="15" hidden="false" customHeight="false" outlineLevel="0" collapsed="false">
      <c r="B546" s="7"/>
      <c r="C546" s="7"/>
      <c r="D546" s="7"/>
    </row>
    <row r="547" customFormat="false" ht="15" hidden="false" customHeight="false" outlineLevel="0" collapsed="false">
      <c r="B547" s="7"/>
      <c r="C547" s="7"/>
      <c r="D547" s="7"/>
    </row>
    <row r="548" customFormat="false" ht="15" hidden="false" customHeight="false" outlineLevel="0" collapsed="false">
      <c r="B548" s="7"/>
      <c r="C548" s="7"/>
      <c r="D548" s="7"/>
    </row>
    <row r="549" customFormat="false" ht="15" hidden="false" customHeight="false" outlineLevel="0" collapsed="false">
      <c r="B549" s="7"/>
      <c r="C549" s="7"/>
      <c r="D549" s="7"/>
    </row>
    <row r="550" customFormat="false" ht="15" hidden="false" customHeight="false" outlineLevel="0" collapsed="false">
      <c r="B550" s="7"/>
      <c r="C550" s="7"/>
      <c r="D550" s="7"/>
    </row>
    <row r="551" customFormat="false" ht="15" hidden="false" customHeight="false" outlineLevel="0" collapsed="false">
      <c r="B551" s="7"/>
      <c r="C551" s="7"/>
      <c r="D551" s="7"/>
    </row>
    <row r="552" customFormat="false" ht="15" hidden="false" customHeight="false" outlineLevel="0" collapsed="false">
      <c r="B552" s="7"/>
      <c r="C552" s="7"/>
      <c r="D552" s="7"/>
    </row>
    <row r="553" customFormat="false" ht="15" hidden="false" customHeight="false" outlineLevel="0" collapsed="false">
      <c r="B553" s="7"/>
      <c r="C553" s="7"/>
      <c r="D553" s="7"/>
    </row>
    <row r="554" customFormat="false" ht="15" hidden="false" customHeight="false" outlineLevel="0" collapsed="false">
      <c r="B554" s="7"/>
      <c r="C554" s="7"/>
      <c r="D554" s="7"/>
    </row>
    <row r="555" customFormat="false" ht="15" hidden="false" customHeight="false" outlineLevel="0" collapsed="false">
      <c r="B555" s="7"/>
      <c r="C555" s="7"/>
      <c r="D555" s="7"/>
    </row>
    <row r="556" customFormat="false" ht="15" hidden="false" customHeight="false" outlineLevel="0" collapsed="false">
      <c r="B556" s="7"/>
      <c r="C556" s="7"/>
      <c r="D556" s="7"/>
    </row>
    <row r="557" customFormat="false" ht="15" hidden="false" customHeight="false" outlineLevel="0" collapsed="false">
      <c r="B557" s="7"/>
      <c r="C557" s="7"/>
      <c r="D557" s="7"/>
    </row>
    <row r="558" customFormat="false" ht="15" hidden="false" customHeight="false" outlineLevel="0" collapsed="false">
      <c r="B558" s="7"/>
      <c r="C558" s="7"/>
      <c r="D558" s="7"/>
    </row>
    <row r="559" customFormat="false" ht="15" hidden="false" customHeight="false" outlineLevel="0" collapsed="false">
      <c r="B559" s="7"/>
      <c r="C559" s="7"/>
      <c r="D559" s="7"/>
    </row>
    <row r="560" customFormat="false" ht="15" hidden="false" customHeight="false" outlineLevel="0" collapsed="false">
      <c r="B560" s="7"/>
      <c r="C560" s="7"/>
      <c r="D560" s="7"/>
    </row>
    <row r="561" customFormat="false" ht="15" hidden="false" customHeight="false" outlineLevel="0" collapsed="false">
      <c r="B561" s="7"/>
      <c r="C561" s="7"/>
      <c r="D561" s="7"/>
    </row>
    <row r="562" customFormat="false" ht="15" hidden="false" customHeight="false" outlineLevel="0" collapsed="false">
      <c r="B562" s="7"/>
      <c r="C562" s="7"/>
      <c r="D562" s="7"/>
    </row>
    <row r="563" customFormat="false" ht="15" hidden="false" customHeight="false" outlineLevel="0" collapsed="false">
      <c r="B563" s="7"/>
      <c r="C563" s="7"/>
      <c r="D563" s="7"/>
    </row>
    <row r="564" customFormat="false" ht="15" hidden="false" customHeight="false" outlineLevel="0" collapsed="false">
      <c r="B564" s="7"/>
      <c r="C564" s="7"/>
      <c r="D564" s="7"/>
    </row>
    <row r="565" customFormat="false" ht="15" hidden="false" customHeight="false" outlineLevel="0" collapsed="false">
      <c r="B565" s="7"/>
      <c r="C565" s="7"/>
      <c r="D565" s="7"/>
    </row>
    <row r="566" customFormat="false" ht="15" hidden="false" customHeight="false" outlineLevel="0" collapsed="false">
      <c r="B566" s="7"/>
      <c r="C566" s="7"/>
      <c r="D566" s="7"/>
    </row>
    <row r="567" customFormat="false" ht="15" hidden="false" customHeight="false" outlineLevel="0" collapsed="false">
      <c r="B567" s="7"/>
      <c r="C567" s="7"/>
      <c r="D567" s="7"/>
    </row>
    <row r="568" customFormat="false" ht="15" hidden="false" customHeight="false" outlineLevel="0" collapsed="false">
      <c r="B568" s="7"/>
      <c r="C568" s="7"/>
      <c r="D568" s="7"/>
    </row>
    <row r="569" customFormat="false" ht="15" hidden="false" customHeight="false" outlineLevel="0" collapsed="false">
      <c r="B569" s="7"/>
      <c r="C569" s="7"/>
      <c r="D569" s="7"/>
    </row>
    <row r="570" customFormat="false" ht="15" hidden="false" customHeight="false" outlineLevel="0" collapsed="false">
      <c r="B570" s="7"/>
      <c r="C570" s="7"/>
      <c r="D570" s="7"/>
    </row>
    <row r="571" customFormat="false" ht="15" hidden="false" customHeight="false" outlineLevel="0" collapsed="false">
      <c r="B571" s="7"/>
      <c r="C571" s="7"/>
      <c r="D571" s="7"/>
    </row>
    <row r="572" customFormat="false" ht="15" hidden="false" customHeight="false" outlineLevel="0" collapsed="false">
      <c r="B572" s="7"/>
      <c r="C572" s="7"/>
      <c r="D572" s="7"/>
    </row>
    <row r="573" customFormat="false" ht="15" hidden="false" customHeight="false" outlineLevel="0" collapsed="false">
      <c r="B573" s="7"/>
      <c r="C573" s="7"/>
      <c r="D573" s="7"/>
    </row>
    <row r="574" customFormat="false" ht="15" hidden="false" customHeight="false" outlineLevel="0" collapsed="false">
      <c r="B574" s="7"/>
      <c r="C574" s="7"/>
      <c r="D574" s="7"/>
    </row>
    <row r="575" customFormat="false" ht="15" hidden="false" customHeight="false" outlineLevel="0" collapsed="false">
      <c r="B575" s="7"/>
      <c r="C575" s="7"/>
      <c r="D575" s="7"/>
    </row>
    <row r="576" customFormat="false" ht="15" hidden="false" customHeight="false" outlineLevel="0" collapsed="false">
      <c r="B576" s="7"/>
      <c r="C576" s="7"/>
      <c r="D576" s="7"/>
    </row>
    <row r="577" customFormat="false" ht="15" hidden="false" customHeight="false" outlineLevel="0" collapsed="false">
      <c r="B577" s="7"/>
      <c r="C577" s="7"/>
      <c r="D577" s="7"/>
    </row>
    <row r="578" customFormat="false" ht="15" hidden="false" customHeight="false" outlineLevel="0" collapsed="false">
      <c r="B578" s="7"/>
      <c r="C578" s="7"/>
      <c r="D578" s="7"/>
    </row>
    <row r="579" customFormat="false" ht="15" hidden="false" customHeight="false" outlineLevel="0" collapsed="false">
      <c r="B579" s="7"/>
      <c r="C579" s="7"/>
      <c r="D579" s="7"/>
    </row>
    <row r="580" customFormat="false" ht="15" hidden="false" customHeight="false" outlineLevel="0" collapsed="false">
      <c r="B580" s="7"/>
      <c r="C580" s="7"/>
      <c r="D580" s="7"/>
    </row>
    <row r="581" customFormat="false" ht="15" hidden="false" customHeight="false" outlineLevel="0" collapsed="false">
      <c r="B581" s="7"/>
      <c r="C581" s="7"/>
      <c r="D581" s="7"/>
    </row>
    <row r="582" customFormat="false" ht="15" hidden="false" customHeight="false" outlineLevel="0" collapsed="false">
      <c r="B582" s="7"/>
      <c r="C582" s="7"/>
      <c r="D582" s="7"/>
    </row>
    <row r="583" customFormat="false" ht="15" hidden="false" customHeight="false" outlineLevel="0" collapsed="false">
      <c r="B583" s="7"/>
      <c r="C583" s="7"/>
      <c r="D583" s="7"/>
    </row>
    <row r="584" customFormat="false" ht="15" hidden="false" customHeight="false" outlineLevel="0" collapsed="false">
      <c r="B584" s="7"/>
      <c r="C584" s="7"/>
      <c r="D584" s="7"/>
    </row>
    <row r="585" customFormat="false" ht="15" hidden="false" customHeight="false" outlineLevel="0" collapsed="false">
      <c r="B585" s="7"/>
      <c r="C585" s="7"/>
      <c r="D585" s="7"/>
    </row>
    <row r="586" customFormat="false" ht="15" hidden="false" customHeight="false" outlineLevel="0" collapsed="false">
      <c r="B586" s="7"/>
      <c r="C586" s="7"/>
      <c r="D586" s="7"/>
    </row>
    <row r="587" customFormat="false" ht="15" hidden="false" customHeight="false" outlineLevel="0" collapsed="false">
      <c r="B587" s="7"/>
      <c r="C587" s="7"/>
      <c r="D587" s="7"/>
    </row>
    <row r="588" customFormat="false" ht="15" hidden="false" customHeight="false" outlineLevel="0" collapsed="false">
      <c r="B588" s="7"/>
      <c r="C588" s="7"/>
      <c r="D588" s="7"/>
    </row>
    <row r="589" customFormat="false" ht="15" hidden="false" customHeight="false" outlineLevel="0" collapsed="false">
      <c r="B589" s="7"/>
      <c r="C589" s="7"/>
      <c r="D589" s="7"/>
    </row>
    <row r="590" customFormat="false" ht="15" hidden="false" customHeight="false" outlineLevel="0" collapsed="false">
      <c r="B590" s="7"/>
      <c r="C590" s="7"/>
      <c r="D590" s="7"/>
    </row>
    <row r="591" customFormat="false" ht="15" hidden="false" customHeight="false" outlineLevel="0" collapsed="false">
      <c r="B591" s="7"/>
      <c r="C591" s="7"/>
      <c r="D591" s="7"/>
    </row>
    <row r="592" customFormat="false" ht="15" hidden="false" customHeight="false" outlineLevel="0" collapsed="false">
      <c r="B592" s="7"/>
      <c r="C592" s="7"/>
      <c r="D592" s="7"/>
    </row>
    <row r="593" customFormat="false" ht="15" hidden="false" customHeight="false" outlineLevel="0" collapsed="false">
      <c r="B593" s="7"/>
      <c r="C593" s="7"/>
      <c r="D593" s="7"/>
    </row>
    <row r="594" customFormat="false" ht="15" hidden="false" customHeight="false" outlineLevel="0" collapsed="false">
      <c r="B594" s="7"/>
      <c r="C594" s="7"/>
      <c r="D594" s="7"/>
    </row>
    <row r="595" customFormat="false" ht="15" hidden="false" customHeight="false" outlineLevel="0" collapsed="false">
      <c r="B595" s="7"/>
      <c r="C595" s="7"/>
      <c r="D595" s="7"/>
    </row>
    <row r="596" customFormat="false" ht="15" hidden="false" customHeight="false" outlineLevel="0" collapsed="false">
      <c r="B596" s="7"/>
      <c r="C596" s="7"/>
      <c r="D596" s="7"/>
    </row>
    <row r="597" customFormat="false" ht="15" hidden="false" customHeight="false" outlineLevel="0" collapsed="false">
      <c r="B597" s="7"/>
      <c r="C597" s="7"/>
      <c r="D597" s="7"/>
    </row>
    <row r="598" customFormat="false" ht="15" hidden="false" customHeight="false" outlineLevel="0" collapsed="false">
      <c r="B598" s="7"/>
      <c r="C598" s="7"/>
      <c r="D598" s="7"/>
    </row>
    <row r="599" customFormat="false" ht="15" hidden="false" customHeight="false" outlineLevel="0" collapsed="false">
      <c r="B599" s="7"/>
      <c r="C599" s="7"/>
      <c r="D599" s="7"/>
    </row>
    <row r="600" customFormat="false" ht="15" hidden="false" customHeight="false" outlineLevel="0" collapsed="false">
      <c r="B600" s="7"/>
      <c r="C600" s="7"/>
      <c r="D600" s="7"/>
    </row>
    <row r="601" customFormat="false" ht="15" hidden="false" customHeight="false" outlineLevel="0" collapsed="false">
      <c r="B601" s="7"/>
      <c r="C601" s="7"/>
      <c r="D601" s="7"/>
    </row>
    <row r="602" customFormat="false" ht="15" hidden="false" customHeight="false" outlineLevel="0" collapsed="false">
      <c r="B602" s="7"/>
      <c r="C602" s="7"/>
      <c r="D602" s="7"/>
    </row>
    <row r="603" customFormat="false" ht="15" hidden="false" customHeight="false" outlineLevel="0" collapsed="false">
      <c r="B603" s="7"/>
      <c r="C603" s="7"/>
      <c r="D603" s="7"/>
    </row>
    <row r="604" customFormat="false" ht="15" hidden="false" customHeight="false" outlineLevel="0" collapsed="false">
      <c r="B604" s="7"/>
      <c r="C604" s="7"/>
      <c r="D604" s="7"/>
    </row>
    <row r="605" customFormat="false" ht="15" hidden="false" customHeight="false" outlineLevel="0" collapsed="false">
      <c r="B605" s="7"/>
      <c r="C605" s="7"/>
      <c r="D605" s="7"/>
    </row>
    <row r="606" customFormat="false" ht="15" hidden="false" customHeight="false" outlineLevel="0" collapsed="false">
      <c r="B606" s="7"/>
      <c r="C606" s="7"/>
      <c r="D606" s="7"/>
    </row>
    <row r="607" customFormat="false" ht="15" hidden="false" customHeight="false" outlineLevel="0" collapsed="false">
      <c r="B607" s="7"/>
      <c r="C607" s="7"/>
      <c r="D607" s="7"/>
    </row>
    <row r="608" customFormat="false" ht="15" hidden="false" customHeight="false" outlineLevel="0" collapsed="false">
      <c r="B608" s="7"/>
      <c r="C608" s="7"/>
      <c r="D608" s="7"/>
    </row>
    <row r="609" customFormat="false" ht="15" hidden="false" customHeight="false" outlineLevel="0" collapsed="false">
      <c r="B609" s="7"/>
      <c r="C609" s="7"/>
      <c r="D609" s="7"/>
    </row>
    <row r="610" customFormat="false" ht="15" hidden="false" customHeight="false" outlineLevel="0" collapsed="false">
      <c r="B610" s="7"/>
      <c r="C610" s="7"/>
      <c r="D610" s="7"/>
    </row>
    <row r="611" customFormat="false" ht="15" hidden="false" customHeight="false" outlineLevel="0" collapsed="false">
      <c r="B611" s="7"/>
      <c r="C611" s="7"/>
      <c r="D611" s="7"/>
    </row>
    <row r="612" customFormat="false" ht="15" hidden="false" customHeight="false" outlineLevel="0" collapsed="false">
      <c r="B612" s="7"/>
      <c r="C612" s="7"/>
      <c r="D612" s="7"/>
    </row>
    <row r="613" customFormat="false" ht="15" hidden="false" customHeight="false" outlineLevel="0" collapsed="false">
      <c r="B613" s="7"/>
      <c r="C613" s="7"/>
      <c r="D613" s="7"/>
    </row>
    <row r="614" customFormat="false" ht="15" hidden="false" customHeight="false" outlineLevel="0" collapsed="false">
      <c r="B614" s="7"/>
      <c r="C614" s="7"/>
      <c r="D614" s="7"/>
    </row>
    <row r="615" customFormat="false" ht="15" hidden="false" customHeight="false" outlineLevel="0" collapsed="false">
      <c r="B615" s="7"/>
      <c r="C615" s="7"/>
      <c r="D615" s="7"/>
    </row>
    <row r="616" customFormat="false" ht="15" hidden="false" customHeight="false" outlineLevel="0" collapsed="false">
      <c r="B616" s="7"/>
      <c r="C616" s="7"/>
      <c r="D616" s="7"/>
    </row>
    <row r="617" customFormat="false" ht="15" hidden="false" customHeight="false" outlineLevel="0" collapsed="false">
      <c r="B617" s="7"/>
      <c r="C617" s="7"/>
      <c r="D617" s="7"/>
    </row>
    <row r="618" customFormat="false" ht="15" hidden="false" customHeight="false" outlineLevel="0" collapsed="false">
      <c r="B618" s="7"/>
      <c r="C618" s="7"/>
      <c r="D618" s="7"/>
    </row>
    <row r="619" customFormat="false" ht="15" hidden="false" customHeight="false" outlineLevel="0" collapsed="false">
      <c r="B619" s="7"/>
      <c r="C619" s="7"/>
      <c r="D619" s="7"/>
    </row>
    <row r="620" customFormat="false" ht="15" hidden="false" customHeight="false" outlineLevel="0" collapsed="false">
      <c r="B620" s="7"/>
      <c r="C620" s="7"/>
      <c r="D620" s="7"/>
    </row>
    <row r="621" customFormat="false" ht="15" hidden="false" customHeight="false" outlineLevel="0" collapsed="false">
      <c r="B621" s="7"/>
      <c r="C621" s="7"/>
      <c r="D621" s="7"/>
    </row>
    <row r="622" customFormat="false" ht="15" hidden="false" customHeight="false" outlineLevel="0" collapsed="false">
      <c r="B622" s="7"/>
      <c r="C622" s="7"/>
      <c r="D622" s="7"/>
    </row>
    <row r="623" customFormat="false" ht="15" hidden="false" customHeight="false" outlineLevel="0" collapsed="false">
      <c r="B623" s="7"/>
      <c r="C623" s="7"/>
      <c r="D623" s="7"/>
    </row>
    <row r="624" customFormat="false" ht="15" hidden="false" customHeight="false" outlineLevel="0" collapsed="false">
      <c r="B624" s="7"/>
      <c r="C624" s="7"/>
      <c r="D624" s="7"/>
    </row>
    <row r="625" customFormat="false" ht="15" hidden="false" customHeight="false" outlineLevel="0" collapsed="false">
      <c r="B625" s="7"/>
      <c r="C625" s="7"/>
      <c r="D625" s="7"/>
    </row>
    <row r="626" customFormat="false" ht="15" hidden="false" customHeight="false" outlineLevel="0" collapsed="false">
      <c r="B626" s="7"/>
      <c r="C626" s="7"/>
      <c r="D626" s="7"/>
    </row>
    <row r="627" customFormat="false" ht="15" hidden="false" customHeight="false" outlineLevel="0" collapsed="false">
      <c r="B627" s="7"/>
      <c r="C627" s="7"/>
      <c r="D627" s="7"/>
    </row>
    <row r="628" customFormat="false" ht="15" hidden="false" customHeight="false" outlineLevel="0" collapsed="false">
      <c r="B628" s="7"/>
      <c r="C628" s="7"/>
      <c r="D628" s="7"/>
    </row>
    <row r="629" customFormat="false" ht="15" hidden="false" customHeight="false" outlineLevel="0" collapsed="false">
      <c r="B629" s="7"/>
      <c r="C629" s="7"/>
      <c r="D629" s="7"/>
    </row>
    <row r="630" customFormat="false" ht="15" hidden="false" customHeight="false" outlineLevel="0" collapsed="false">
      <c r="B630" s="7"/>
      <c r="C630" s="7"/>
      <c r="D630" s="7"/>
    </row>
    <row r="631" customFormat="false" ht="15" hidden="false" customHeight="false" outlineLevel="0" collapsed="false">
      <c r="B631" s="7"/>
      <c r="C631" s="7"/>
      <c r="D631" s="7"/>
    </row>
    <row r="632" customFormat="false" ht="15" hidden="false" customHeight="false" outlineLevel="0" collapsed="false">
      <c r="B632" s="7"/>
      <c r="C632" s="7"/>
      <c r="D632" s="7"/>
    </row>
    <row r="633" customFormat="false" ht="15" hidden="false" customHeight="false" outlineLevel="0" collapsed="false">
      <c r="B633" s="7"/>
      <c r="C633" s="7"/>
      <c r="D633" s="7"/>
    </row>
    <row r="634" customFormat="false" ht="15" hidden="false" customHeight="false" outlineLevel="0" collapsed="false">
      <c r="B634" s="7"/>
      <c r="C634" s="7"/>
      <c r="D634" s="7"/>
    </row>
    <row r="635" customFormat="false" ht="15" hidden="false" customHeight="false" outlineLevel="0" collapsed="false">
      <c r="B635" s="7"/>
      <c r="C635" s="7"/>
      <c r="D635" s="7"/>
    </row>
    <row r="636" customFormat="false" ht="15" hidden="false" customHeight="false" outlineLevel="0" collapsed="false">
      <c r="B636" s="7"/>
      <c r="C636" s="7"/>
      <c r="D636" s="7"/>
    </row>
    <row r="637" customFormat="false" ht="15" hidden="false" customHeight="false" outlineLevel="0" collapsed="false">
      <c r="B637" s="7"/>
      <c r="C637" s="7"/>
      <c r="D637" s="7"/>
    </row>
    <row r="638" customFormat="false" ht="15" hidden="false" customHeight="false" outlineLevel="0" collapsed="false">
      <c r="B638" s="7"/>
      <c r="C638" s="7"/>
      <c r="D638" s="7"/>
    </row>
    <row r="639" customFormat="false" ht="15" hidden="false" customHeight="false" outlineLevel="0" collapsed="false">
      <c r="B639" s="7"/>
      <c r="C639" s="7"/>
      <c r="D639" s="7"/>
    </row>
    <row r="640" customFormat="false" ht="15" hidden="false" customHeight="false" outlineLevel="0" collapsed="false">
      <c r="B640" s="7"/>
      <c r="C640" s="7"/>
      <c r="D640" s="7"/>
    </row>
    <row r="641" customFormat="false" ht="15" hidden="false" customHeight="false" outlineLevel="0" collapsed="false">
      <c r="B641" s="7"/>
      <c r="C641" s="7"/>
      <c r="D641" s="7"/>
    </row>
    <row r="642" customFormat="false" ht="15" hidden="false" customHeight="false" outlineLevel="0" collapsed="false">
      <c r="B642" s="7"/>
      <c r="C642" s="7"/>
      <c r="D642" s="7"/>
    </row>
    <row r="643" customFormat="false" ht="15" hidden="false" customHeight="false" outlineLevel="0" collapsed="false">
      <c r="B643" s="7"/>
      <c r="C643" s="7"/>
      <c r="D643" s="7"/>
    </row>
    <row r="644" customFormat="false" ht="15" hidden="false" customHeight="false" outlineLevel="0" collapsed="false">
      <c r="B644" s="7"/>
      <c r="C644" s="7"/>
      <c r="D644" s="7"/>
    </row>
    <row r="645" customFormat="false" ht="15" hidden="false" customHeight="false" outlineLevel="0" collapsed="false">
      <c r="B645" s="7"/>
      <c r="C645" s="7"/>
      <c r="D645" s="7"/>
    </row>
    <row r="646" customFormat="false" ht="15" hidden="false" customHeight="false" outlineLevel="0" collapsed="false">
      <c r="B646" s="7"/>
      <c r="C646" s="7"/>
      <c r="D646" s="7"/>
    </row>
    <row r="647" customFormat="false" ht="15" hidden="false" customHeight="false" outlineLevel="0" collapsed="false">
      <c r="B647" s="7"/>
      <c r="C647" s="7"/>
      <c r="D647" s="7"/>
    </row>
    <row r="648" customFormat="false" ht="15" hidden="false" customHeight="false" outlineLevel="0" collapsed="false">
      <c r="B648" s="7"/>
      <c r="C648" s="7"/>
      <c r="D648" s="7"/>
    </row>
    <row r="649" customFormat="false" ht="15" hidden="false" customHeight="false" outlineLevel="0" collapsed="false">
      <c r="B649" s="7"/>
      <c r="C649" s="7"/>
      <c r="D649" s="7"/>
    </row>
    <row r="650" customFormat="false" ht="15" hidden="false" customHeight="false" outlineLevel="0" collapsed="false">
      <c r="B650" s="7"/>
      <c r="C650" s="7"/>
      <c r="D650" s="7"/>
    </row>
    <row r="651" customFormat="false" ht="15" hidden="false" customHeight="false" outlineLevel="0" collapsed="false">
      <c r="B651" s="7"/>
      <c r="C651" s="7"/>
      <c r="D651" s="7"/>
    </row>
    <row r="652" customFormat="false" ht="15" hidden="false" customHeight="false" outlineLevel="0" collapsed="false">
      <c r="B652" s="7"/>
      <c r="C652" s="7"/>
      <c r="D652" s="7"/>
    </row>
    <row r="653" customFormat="false" ht="15" hidden="false" customHeight="false" outlineLevel="0" collapsed="false">
      <c r="B653" s="7"/>
      <c r="C653" s="7"/>
      <c r="D653" s="7"/>
    </row>
    <row r="654" customFormat="false" ht="15" hidden="false" customHeight="false" outlineLevel="0" collapsed="false">
      <c r="B654" s="7"/>
      <c r="C654" s="7"/>
      <c r="D654" s="7"/>
    </row>
    <row r="655" customFormat="false" ht="15" hidden="false" customHeight="false" outlineLevel="0" collapsed="false">
      <c r="B655" s="7"/>
      <c r="C655" s="7"/>
      <c r="D655" s="7"/>
    </row>
    <row r="656" customFormat="false" ht="15" hidden="false" customHeight="false" outlineLevel="0" collapsed="false">
      <c r="B656" s="7"/>
      <c r="C656" s="7"/>
      <c r="D656" s="7"/>
    </row>
    <row r="657" customFormat="false" ht="15" hidden="false" customHeight="false" outlineLevel="0" collapsed="false">
      <c r="B657" s="7"/>
      <c r="C657" s="7"/>
      <c r="D657" s="7"/>
    </row>
    <row r="658" customFormat="false" ht="15" hidden="false" customHeight="false" outlineLevel="0" collapsed="false">
      <c r="B658" s="7"/>
      <c r="C658" s="7"/>
      <c r="D658" s="7"/>
    </row>
    <row r="659" customFormat="false" ht="15" hidden="false" customHeight="false" outlineLevel="0" collapsed="false">
      <c r="B659" s="7"/>
      <c r="C659" s="7"/>
      <c r="D659" s="7"/>
    </row>
    <row r="660" customFormat="false" ht="15" hidden="false" customHeight="false" outlineLevel="0" collapsed="false">
      <c r="B660" s="7"/>
      <c r="C660" s="7"/>
      <c r="D660" s="7"/>
    </row>
    <row r="661" customFormat="false" ht="15" hidden="false" customHeight="false" outlineLevel="0" collapsed="false">
      <c r="B661" s="7"/>
      <c r="C661" s="7"/>
      <c r="D661" s="7"/>
    </row>
    <row r="662" customFormat="false" ht="15" hidden="false" customHeight="false" outlineLevel="0" collapsed="false">
      <c r="B662" s="7"/>
      <c r="C662" s="7"/>
      <c r="D662" s="7"/>
    </row>
    <row r="663" customFormat="false" ht="15" hidden="false" customHeight="false" outlineLevel="0" collapsed="false">
      <c r="B663" s="7"/>
      <c r="C663" s="7"/>
      <c r="D663" s="7"/>
    </row>
    <row r="664" customFormat="false" ht="15" hidden="false" customHeight="false" outlineLevel="0" collapsed="false">
      <c r="B664" s="7"/>
      <c r="C664" s="7"/>
      <c r="D664" s="7"/>
    </row>
    <row r="665" customFormat="false" ht="15" hidden="false" customHeight="false" outlineLevel="0" collapsed="false">
      <c r="B665" s="7"/>
      <c r="C665" s="7"/>
      <c r="D665" s="7"/>
    </row>
    <row r="666" customFormat="false" ht="15" hidden="false" customHeight="false" outlineLevel="0" collapsed="false">
      <c r="B666" s="7"/>
      <c r="C666" s="7"/>
      <c r="D666" s="7"/>
    </row>
    <row r="667" customFormat="false" ht="15" hidden="false" customHeight="false" outlineLevel="0" collapsed="false">
      <c r="B667" s="7"/>
      <c r="C667" s="7"/>
      <c r="D667" s="7"/>
    </row>
    <row r="668" customFormat="false" ht="15" hidden="false" customHeight="false" outlineLevel="0" collapsed="false">
      <c r="B668" s="7"/>
      <c r="C668" s="7"/>
      <c r="D668" s="7"/>
    </row>
    <row r="669" customFormat="false" ht="15" hidden="false" customHeight="false" outlineLevel="0" collapsed="false">
      <c r="B669" s="7"/>
      <c r="C669" s="7"/>
      <c r="D669" s="7"/>
    </row>
    <row r="670" customFormat="false" ht="15" hidden="false" customHeight="false" outlineLevel="0" collapsed="false">
      <c r="B670" s="7"/>
      <c r="C670" s="7"/>
      <c r="D670" s="7"/>
    </row>
    <row r="671" customFormat="false" ht="15" hidden="false" customHeight="false" outlineLevel="0" collapsed="false">
      <c r="B671" s="7"/>
      <c r="C671" s="7"/>
      <c r="D671" s="7"/>
    </row>
    <row r="672" customFormat="false" ht="15" hidden="false" customHeight="false" outlineLevel="0" collapsed="false">
      <c r="B672" s="7"/>
      <c r="C672" s="7"/>
      <c r="D672" s="7"/>
    </row>
    <row r="673" customFormat="false" ht="15" hidden="false" customHeight="false" outlineLevel="0" collapsed="false">
      <c r="B673" s="7"/>
      <c r="C673" s="7"/>
      <c r="D673" s="7"/>
    </row>
    <row r="674" customFormat="false" ht="15" hidden="false" customHeight="false" outlineLevel="0" collapsed="false">
      <c r="B674" s="7"/>
      <c r="C674" s="7"/>
      <c r="D674" s="7"/>
    </row>
    <row r="675" customFormat="false" ht="15" hidden="false" customHeight="false" outlineLevel="0" collapsed="false">
      <c r="B675" s="7"/>
      <c r="C675" s="7"/>
      <c r="D675" s="7"/>
    </row>
    <row r="676" customFormat="false" ht="15" hidden="false" customHeight="false" outlineLevel="0" collapsed="false">
      <c r="B676" s="7"/>
      <c r="C676" s="7"/>
      <c r="D676" s="7"/>
    </row>
    <row r="677" customFormat="false" ht="15" hidden="false" customHeight="false" outlineLevel="0" collapsed="false">
      <c r="B677" s="7"/>
      <c r="C677" s="7"/>
      <c r="D677" s="7"/>
    </row>
    <row r="678" customFormat="false" ht="15" hidden="false" customHeight="false" outlineLevel="0" collapsed="false">
      <c r="B678" s="7"/>
      <c r="C678" s="7"/>
      <c r="D678" s="7"/>
    </row>
    <row r="679" customFormat="false" ht="15" hidden="false" customHeight="false" outlineLevel="0" collapsed="false">
      <c r="B679" s="7"/>
      <c r="C679" s="7"/>
      <c r="D679" s="7"/>
    </row>
    <row r="680" customFormat="false" ht="15" hidden="false" customHeight="false" outlineLevel="0" collapsed="false">
      <c r="B680" s="7"/>
      <c r="C680" s="7"/>
      <c r="D680" s="7"/>
    </row>
    <row r="681" customFormat="false" ht="15" hidden="false" customHeight="false" outlineLevel="0" collapsed="false">
      <c r="B681" s="7"/>
      <c r="C681" s="7"/>
      <c r="D681" s="7"/>
    </row>
    <row r="682" customFormat="false" ht="15" hidden="false" customHeight="false" outlineLevel="0" collapsed="false">
      <c r="B682" s="7"/>
      <c r="C682" s="7"/>
      <c r="D682" s="7"/>
    </row>
    <row r="683" customFormat="false" ht="15" hidden="false" customHeight="false" outlineLevel="0" collapsed="false">
      <c r="B683" s="7"/>
      <c r="C683" s="7"/>
      <c r="D683" s="7"/>
    </row>
    <row r="684" customFormat="false" ht="15" hidden="false" customHeight="false" outlineLevel="0" collapsed="false">
      <c r="B684" s="7"/>
      <c r="C684" s="7"/>
      <c r="D684" s="7"/>
    </row>
    <row r="685" customFormat="false" ht="15" hidden="false" customHeight="false" outlineLevel="0" collapsed="false">
      <c r="B685" s="7"/>
      <c r="C685" s="7"/>
      <c r="D685" s="7"/>
    </row>
    <row r="686" customFormat="false" ht="15" hidden="false" customHeight="false" outlineLevel="0" collapsed="false">
      <c r="B686" s="7"/>
      <c r="C686" s="7"/>
      <c r="D686" s="7"/>
    </row>
    <row r="687" customFormat="false" ht="15" hidden="false" customHeight="false" outlineLevel="0" collapsed="false">
      <c r="B687" s="7"/>
      <c r="C687" s="7"/>
      <c r="D687" s="7"/>
    </row>
    <row r="688" customFormat="false" ht="15" hidden="false" customHeight="false" outlineLevel="0" collapsed="false">
      <c r="B688" s="7"/>
      <c r="C688" s="7"/>
      <c r="D688" s="7"/>
    </row>
    <row r="689" customFormat="false" ht="15" hidden="false" customHeight="false" outlineLevel="0" collapsed="false">
      <c r="B689" s="7"/>
      <c r="C689" s="7"/>
      <c r="D689" s="7"/>
    </row>
    <row r="690" customFormat="false" ht="15" hidden="false" customHeight="false" outlineLevel="0" collapsed="false">
      <c r="B690" s="7"/>
      <c r="C690" s="7"/>
      <c r="D690" s="7"/>
    </row>
    <row r="691" customFormat="false" ht="15" hidden="false" customHeight="false" outlineLevel="0" collapsed="false">
      <c r="B691" s="7"/>
      <c r="C691" s="7"/>
      <c r="D691" s="7"/>
    </row>
    <row r="692" customFormat="false" ht="15" hidden="false" customHeight="false" outlineLevel="0" collapsed="false">
      <c r="B692" s="7"/>
      <c r="C692" s="7"/>
      <c r="D692" s="7"/>
    </row>
    <row r="693" customFormat="false" ht="15" hidden="false" customHeight="false" outlineLevel="0" collapsed="false">
      <c r="B693" s="7"/>
      <c r="C693" s="7"/>
      <c r="D693" s="7"/>
    </row>
    <row r="694" customFormat="false" ht="15" hidden="false" customHeight="false" outlineLevel="0" collapsed="false">
      <c r="B694" s="7"/>
      <c r="C694" s="7"/>
      <c r="D694" s="7"/>
    </row>
    <row r="695" customFormat="false" ht="15" hidden="false" customHeight="false" outlineLevel="0" collapsed="false">
      <c r="B695" s="7"/>
      <c r="C695" s="7"/>
      <c r="D695" s="7"/>
    </row>
    <row r="696" customFormat="false" ht="15" hidden="false" customHeight="false" outlineLevel="0" collapsed="false">
      <c r="B696" s="7"/>
      <c r="C696" s="7"/>
      <c r="D696" s="7"/>
    </row>
    <row r="697" customFormat="false" ht="15" hidden="false" customHeight="false" outlineLevel="0" collapsed="false">
      <c r="B697" s="7"/>
      <c r="C697" s="7"/>
      <c r="D697" s="7"/>
    </row>
    <row r="698" customFormat="false" ht="15" hidden="false" customHeight="false" outlineLevel="0" collapsed="false">
      <c r="B698" s="7"/>
      <c r="C698" s="7"/>
      <c r="D698" s="7"/>
    </row>
    <row r="699" customFormat="false" ht="15" hidden="false" customHeight="false" outlineLevel="0" collapsed="false">
      <c r="B699" s="7"/>
      <c r="C699" s="7"/>
      <c r="D699" s="7"/>
    </row>
    <row r="700" customFormat="false" ht="15" hidden="false" customHeight="false" outlineLevel="0" collapsed="false">
      <c r="B700" s="7"/>
      <c r="C700" s="7"/>
      <c r="D700" s="7"/>
    </row>
    <row r="701" customFormat="false" ht="15" hidden="false" customHeight="false" outlineLevel="0" collapsed="false">
      <c r="B701" s="7"/>
      <c r="C701" s="7"/>
      <c r="D701" s="7"/>
    </row>
    <row r="702" customFormat="false" ht="15" hidden="false" customHeight="false" outlineLevel="0" collapsed="false">
      <c r="B702" s="7"/>
      <c r="C702" s="7"/>
      <c r="D702" s="7"/>
    </row>
    <row r="703" customFormat="false" ht="15" hidden="false" customHeight="false" outlineLevel="0" collapsed="false">
      <c r="B703" s="7"/>
      <c r="C703" s="7"/>
      <c r="D703" s="7"/>
    </row>
    <row r="704" customFormat="false" ht="15" hidden="false" customHeight="false" outlineLevel="0" collapsed="false">
      <c r="B704" s="7"/>
      <c r="C704" s="7"/>
      <c r="D704" s="7"/>
    </row>
    <row r="705" customFormat="false" ht="15" hidden="false" customHeight="false" outlineLevel="0" collapsed="false">
      <c r="B705" s="7"/>
      <c r="C705" s="7"/>
      <c r="D705" s="7"/>
    </row>
    <row r="706" customFormat="false" ht="15" hidden="false" customHeight="false" outlineLevel="0" collapsed="false">
      <c r="B706" s="7"/>
      <c r="C706" s="7"/>
      <c r="D706" s="7"/>
    </row>
    <row r="707" customFormat="false" ht="15" hidden="false" customHeight="false" outlineLevel="0" collapsed="false">
      <c r="B707" s="7"/>
      <c r="C707" s="7"/>
      <c r="D707" s="7"/>
    </row>
    <row r="708" customFormat="false" ht="15" hidden="false" customHeight="false" outlineLevel="0" collapsed="false">
      <c r="B708" s="7"/>
      <c r="C708" s="7"/>
      <c r="D708" s="7"/>
    </row>
    <row r="709" customFormat="false" ht="15" hidden="false" customHeight="false" outlineLevel="0" collapsed="false">
      <c r="B709" s="7"/>
      <c r="C709" s="7"/>
      <c r="D709" s="7"/>
    </row>
    <row r="710" customFormat="false" ht="15" hidden="false" customHeight="false" outlineLevel="0" collapsed="false">
      <c r="B710" s="7"/>
      <c r="C710" s="7"/>
      <c r="D710" s="7"/>
    </row>
    <row r="711" customFormat="false" ht="15" hidden="false" customHeight="false" outlineLevel="0" collapsed="false">
      <c r="B711" s="7"/>
      <c r="C711" s="7"/>
      <c r="D711" s="7"/>
    </row>
    <row r="712" customFormat="false" ht="15" hidden="false" customHeight="false" outlineLevel="0" collapsed="false">
      <c r="B712" s="7"/>
      <c r="C712" s="7"/>
      <c r="D712" s="7"/>
    </row>
    <row r="713" customFormat="false" ht="15" hidden="false" customHeight="false" outlineLevel="0" collapsed="false">
      <c r="B713" s="7"/>
      <c r="C713" s="7"/>
      <c r="D713" s="7"/>
    </row>
    <row r="714" customFormat="false" ht="15" hidden="false" customHeight="false" outlineLevel="0" collapsed="false">
      <c r="B714" s="7"/>
      <c r="C714" s="7"/>
      <c r="D714" s="7"/>
    </row>
    <row r="715" customFormat="false" ht="15" hidden="false" customHeight="false" outlineLevel="0" collapsed="false">
      <c r="B715" s="7"/>
      <c r="C715" s="7"/>
      <c r="D715" s="7"/>
    </row>
    <row r="716" customFormat="false" ht="15" hidden="false" customHeight="false" outlineLevel="0" collapsed="false">
      <c r="B716" s="7"/>
      <c r="C716" s="7"/>
      <c r="D716" s="7"/>
    </row>
    <row r="717" customFormat="false" ht="15" hidden="false" customHeight="false" outlineLevel="0" collapsed="false">
      <c r="B717" s="7"/>
      <c r="C717" s="7"/>
      <c r="D717" s="7"/>
    </row>
    <row r="718" customFormat="false" ht="15" hidden="false" customHeight="false" outlineLevel="0" collapsed="false">
      <c r="B718" s="7"/>
      <c r="C718" s="7"/>
      <c r="D718" s="7"/>
    </row>
    <row r="719" customFormat="false" ht="15" hidden="false" customHeight="false" outlineLevel="0" collapsed="false">
      <c r="B719" s="7"/>
      <c r="C719" s="7"/>
      <c r="D719" s="7"/>
    </row>
    <row r="720" customFormat="false" ht="15" hidden="false" customHeight="false" outlineLevel="0" collapsed="false">
      <c r="B720" s="7"/>
      <c r="C720" s="7"/>
      <c r="D720" s="7"/>
    </row>
    <row r="721" customFormat="false" ht="15" hidden="false" customHeight="false" outlineLevel="0" collapsed="false">
      <c r="B721" s="7"/>
      <c r="C721" s="7"/>
      <c r="D721" s="7"/>
    </row>
    <row r="722" customFormat="false" ht="15" hidden="false" customHeight="false" outlineLevel="0" collapsed="false">
      <c r="B722" s="7"/>
      <c r="C722" s="7"/>
      <c r="D722" s="7"/>
    </row>
    <row r="723" customFormat="false" ht="15" hidden="false" customHeight="false" outlineLevel="0" collapsed="false">
      <c r="B723" s="7"/>
      <c r="C723" s="7"/>
      <c r="D723" s="7"/>
    </row>
    <row r="724" customFormat="false" ht="15" hidden="false" customHeight="false" outlineLevel="0" collapsed="false">
      <c r="B724" s="7"/>
      <c r="C724" s="7"/>
      <c r="D724" s="7"/>
    </row>
    <row r="725" customFormat="false" ht="15" hidden="false" customHeight="false" outlineLevel="0" collapsed="false">
      <c r="B725" s="7"/>
      <c r="C725" s="7"/>
      <c r="D725" s="7"/>
    </row>
    <row r="726" customFormat="false" ht="15" hidden="false" customHeight="false" outlineLevel="0" collapsed="false">
      <c r="B726" s="7"/>
      <c r="C726" s="7"/>
      <c r="D726" s="7"/>
    </row>
    <row r="727" customFormat="false" ht="15" hidden="false" customHeight="false" outlineLevel="0" collapsed="false">
      <c r="B727" s="7"/>
      <c r="C727" s="7"/>
      <c r="D727" s="7"/>
    </row>
    <row r="728" customFormat="false" ht="15" hidden="false" customHeight="false" outlineLevel="0" collapsed="false">
      <c r="B728" s="7"/>
      <c r="C728" s="7"/>
      <c r="D728" s="7"/>
    </row>
    <row r="729" customFormat="false" ht="15" hidden="false" customHeight="false" outlineLevel="0" collapsed="false">
      <c r="B729" s="7"/>
      <c r="C729" s="7"/>
      <c r="D729" s="7"/>
    </row>
    <row r="730" customFormat="false" ht="15" hidden="false" customHeight="false" outlineLevel="0" collapsed="false">
      <c r="B730" s="7"/>
      <c r="C730" s="7"/>
      <c r="D730" s="7"/>
    </row>
    <row r="731" customFormat="false" ht="15" hidden="false" customHeight="false" outlineLevel="0" collapsed="false">
      <c r="B731" s="7"/>
      <c r="C731" s="7"/>
      <c r="D731" s="7"/>
    </row>
    <row r="732" customFormat="false" ht="15" hidden="false" customHeight="false" outlineLevel="0" collapsed="false">
      <c r="B732" s="7"/>
      <c r="C732" s="7"/>
      <c r="D732" s="7"/>
    </row>
    <row r="733" customFormat="false" ht="15" hidden="false" customHeight="false" outlineLevel="0" collapsed="false">
      <c r="B733" s="7"/>
      <c r="C733" s="7"/>
      <c r="D733" s="7"/>
    </row>
    <row r="734" customFormat="false" ht="15" hidden="false" customHeight="false" outlineLevel="0" collapsed="false">
      <c r="B734" s="7"/>
      <c r="C734" s="7"/>
      <c r="D734" s="7"/>
    </row>
    <row r="735" customFormat="false" ht="15" hidden="false" customHeight="false" outlineLevel="0" collapsed="false">
      <c r="B735" s="7"/>
      <c r="C735" s="7"/>
      <c r="D735" s="7"/>
    </row>
    <row r="736" customFormat="false" ht="15" hidden="false" customHeight="false" outlineLevel="0" collapsed="false">
      <c r="B736" s="7"/>
      <c r="C736" s="7"/>
      <c r="D736" s="7"/>
    </row>
    <row r="737" customFormat="false" ht="15" hidden="false" customHeight="false" outlineLevel="0" collapsed="false">
      <c r="B737" s="7"/>
      <c r="C737" s="7"/>
      <c r="D737" s="7"/>
    </row>
    <row r="738" customFormat="false" ht="15" hidden="false" customHeight="false" outlineLevel="0" collapsed="false">
      <c r="B738" s="7"/>
      <c r="C738" s="7"/>
      <c r="D738" s="7"/>
    </row>
    <row r="739" customFormat="false" ht="15" hidden="false" customHeight="false" outlineLevel="0" collapsed="false">
      <c r="B739" s="7"/>
      <c r="C739" s="7"/>
      <c r="D739" s="7"/>
    </row>
    <row r="740" customFormat="false" ht="15" hidden="false" customHeight="false" outlineLevel="0" collapsed="false">
      <c r="B740" s="7"/>
      <c r="C740" s="7"/>
      <c r="D740" s="7"/>
    </row>
    <row r="741" customFormat="false" ht="15" hidden="false" customHeight="false" outlineLevel="0" collapsed="false">
      <c r="B741" s="7"/>
      <c r="C741" s="7"/>
      <c r="D741" s="7"/>
    </row>
    <row r="742" customFormat="false" ht="15" hidden="false" customHeight="false" outlineLevel="0" collapsed="false">
      <c r="B742" s="7"/>
      <c r="C742" s="7"/>
      <c r="D742" s="7"/>
    </row>
    <row r="743" customFormat="false" ht="15" hidden="false" customHeight="false" outlineLevel="0" collapsed="false">
      <c r="B743" s="7"/>
      <c r="C743" s="7"/>
      <c r="D743" s="7"/>
    </row>
    <row r="744" customFormat="false" ht="15" hidden="false" customHeight="false" outlineLevel="0" collapsed="false">
      <c r="B744" s="7"/>
      <c r="C744" s="7"/>
      <c r="D744" s="7"/>
    </row>
    <row r="745" customFormat="false" ht="15" hidden="false" customHeight="false" outlineLevel="0" collapsed="false">
      <c r="B745" s="7"/>
      <c r="C745" s="7"/>
      <c r="D745" s="7"/>
    </row>
    <row r="746" customFormat="false" ht="15" hidden="false" customHeight="false" outlineLevel="0" collapsed="false">
      <c r="B746" s="7"/>
      <c r="C746" s="7"/>
      <c r="D746" s="7"/>
    </row>
    <row r="747" customFormat="false" ht="15" hidden="false" customHeight="false" outlineLevel="0" collapsed="false">
      <c r="B747" s="7"/>
      <c r="C747" s="7"/>
      <c r="D747" s="7"/>
    </row>
    <row r="748" customFormat="false" ht="15" hidden="false" customHeight="false" outlineLevel="0" collapsed="false">
      <c r="B748" s="7"/>
      <c r="C748" s="7"/>
      <c r="D748" s="7"/>
    </row>
    <row r="749" customFormat="false" ht="15" hidden="false" customHeight="false" outlineLevel="0" collapsed="false">
      <c r="B749" s="7"/>
      <c r="C749" s="7"/>
      <c r="D749" s="7"/>
    </row>
    <row r="750" customFormat="false" ht="15" hidden="false" customHeight="false" outlineLevel="0" collapsed="false">
      <c r="B750" s="7"/>
      <c r="C750" s="7"/>
      <c r="D750" s="7"/>
    </row>
    <row r="751" customFormat="false" ht="15" hidden="false" customHeight="false" outlineLevel="0" collapsed="false">
      <c r="B751" s="7"/>
      <c r="C751" s="7"/>
      <c r="D751" s="7"/>
    </row>
    <row r="752" customFormat="false" ht="15" hidden="false" customHeight="false" outlineLevel="0" collapsed="false">
      <c r="B752" s="7"/>
      <c r="C752" s="7"/>
      <c r="D752" s="7"/>
    </row>
    <row r="753" customFormat="false" ht="15" hidden="false" customHeight="false" outlineLevel="0" collapsed="false">
      <c r="B753" s="7"/>
      <c r="C753" s="7"/>
      <c r="D753" s="7"/>
    </row>
    <row r="754" customFormat="false" ht="15" hidden="false" customHeight="false" outlineLevel="0" collapsed="false">
      <c r="B754" s="7"/>
      <c r="C754" s="7"/>
      <c r="D754" s="7"/>
    </row>
    <row r="755" customFormat="false" ht="15" hidden="false" customHeight="false" outlineLevel="0" collapsed="false">
      <c r="B755" s="7"/>
      <c r="C755" s="7"/>
      <c r="D755" s="7"/>
    </row>
    <row r="756" customFormat="false" ht="15" hidden="false" customHeight="false" outlineLevel="0" collapsed="false">
      <c r="B756" s="7"/>
      <c r="C756" s="7"/>
      <c r="D756" s="7"/>
    </row>
    <row r="757" customFormat="false" ht="15" hidden="false" customHeight="false" outlineLevel="0" collapsed="false">
      <c r="B757" s="7"/>
      <c r="C757" s="7"/>
      <c r="D757" s="7"/>
    </row>
    <row r="758" customFormat="false" ht="15" hidden="false" customHeight="false" outlineLevel="0" collapsed="false">
      <c r="B758" s="7"/>
      <c r="C758" s="7"/>
      <c r="D758" s="7"/>
    </row>
    <row r="759" customFormat="false" ht="15" hidden="false" customHeight="false" outlineLevel="0" collapsed="false">
      <c r="B759" s="7"/>
      <c r="C759" s="7"/>
      <c r="D759" s="7"/>
    </row>
    <row r="760" customFormat="false" ht="15" hidden="false" customHeight="false" outlineLevel="0" collapsed="false">
      <c r="B760" s="7"/>
      <c r="C760" s="7"/>
      <c r="D760" s="7"/>
    </row>
    <row r="761" customFormat="false" ht="15" hidden="false" customHeight="false" outlineLevel="0" collapsed="false">
      <c r="B761" s="7"/>
      <c r="C761" s="7"/>
      <c r="D761" s="7"/>
    </row>
    <row r="762" customFormat="false" ht="15" hidden="false" customHeight="false" outlineLevel="0" collapsed="false">
      <c r="B762" s="7"/>
      <c r="C762" s="7"/>
      <c r="D762" s="7"/>
    </row>
    <row r="763" customFormat="false" ht="15" hidden="false" customHeight="false" outlineLevel="0" collapsed="false">
      <c r="B763" s="7"/>
      <c r="C763" s="7"/>
      <c r="D763" s="7"/>
    </row>
    <row r="764" customFormat="false" ht="15" hidden="false" customHeight="false" outlineLevel="0" collapsed="false">
      <c r="B764" s="7"/>
      <c r="C764" s="7"/>
      <c r="D764" s="7"/>
    </row>
    <row r="765" customFormat="false" ht="15" hidden="false" customHeight="false" outlineLevel="0" collapsed="false">
      <c r="B765" s="7"/>
      <c r="C765" s="7"/>
      <c r="D765" s="7"/>
    </row>
    <row r="766" customFormat="false" ht="15" hidden="false" customHeight="false" outlineLevel="0" collapsed="false">
      <c r="B766" s="7"/>
      <c r="C766" s="7"/>
      <c r="D766" s="7"/>
    </row>
    <row r="767" customFormat="false" ht="15" hidden="false" customHeight="false" outlineLevel="0" collapsed="false">
      <c r="B767" s="7"/>
      <c r="C767" s="7"/>
      <c r="D767" s="7"/>
    </row>
    <row r="768" customFormat="false" ht="15" hidden="false" customHeight="false" outlineLevel="0" collapsed="false">
      <c r="B768" s="7"/>
      <c r="C768" s="7"/>
      <c r="D768" s="7"/>
    </row>
    <row r="769" customFormat="false" ht="15" hidden="false" customHeight="false" outlineLevel="0" collapsed="false">
      <c r="B769" s="7"/>
      <c r="C769" s="7"/>
      <c r="D769" s="7"/>
    </row>
    <row r="770" customFormat="false" ht="15" hidden="false" customHeight="false" outlineLevel="0" collapsed="false">
      <c r="B770" s="7"/>
      <c r="C770" s="7"/>
      <c r="D770" s="7"/>
    </row>
    <row r="771" customFormat="false" ht="15" hidden="false" customHeight="false" outlineLevel="0" collapsed="false">
      <c r="B771" s="7"/>
      <c r="C771" s="7"/>
      <c r="D771" s="7"/>
    </row>
    <row r="772" customFormat="false" ht="15" hidden="false" customHeight="false" outlineLevel="0" collapsed="false">
      <c r="B772" s="7"/>
      <c r="C772" s="7"/>
      <c r="D772" s="7"/>
    </row>
    <row r="773" customFormat="false" ht="15" hidden="false" customHeight="false" outlineLevel="0" collapsed="false">
      <c r="B773" s="7"/>
      <c r="C773" s="7"/>
      <c r="D773" s="7"/>
    </row>
    <row r="774" customFormat="false" ht="15" hidden="false" customHeight="false" outlineLevel="0" collapsed="false">
      <c r="B774" s="7"/>
      <c r="C774" s="7"/>
      <c r="D774" s="7"/>
    </row>
    <row r="775" customFormat="false" ht="15" hidden="false" customHeight="false" outlineLevel="0" collapsed="false">
      <c r="B775" s="7"/>
      <c r="C775" s="7"/>
      <c r="D775" s="7"/>
    </row>
    <row r="776" customFormat="false" ht="15" hidden="false" customHeight="false" outlineLevel="0" collapsed="false">
      <c r="B776" s="7"/>
      <c r="C776" s="7"/>
      <c r="D776" s="7"/>
    </row>
    <row r="777" customFormat="false" ht="15" hidden="false" customHeight="false" outlineLevel="0" collapsed="false">
      <c r="B777" s="7"/>
      <c r="C777" s="7"/>
      <c r="D777" s="7"/>
    </row>
    <row r="778" customFormat="false" ht="15" hidden="false" customHeight="false" outlineLevel="0" collapsed="false">
      <c r="B778" s="7"/>
      <c r="C778" s="7"/>
      <c r="D778" s="7"/>
    </row>
    <row r="779" customFormat="false" ht="15" hidden="false" customHeight="false" outlineLevel="0" collapsed="false">
      <c r="B779" s="7"/>
      <c r="C779" s="7"/>
      <c r="D779" s="7"/>
    </row>
    <row r="780" customFormat="false" ht="15" hidden="false" customHeight="false" outlineLevel="0" collapsed="false">
      <c r="B780" s="7"/>
      <c r="C780" s="7"/>
      <c r="D780" s="7"/>
    </row>
    <row r="781" customFormat="false" ht="15" hidden="false" customHeight="false" outlineLevel="0" collapsed="false">
      <c r="B781" s="7"/>
      <c r="C781" s="7"/>
      <c r="D781" s="7"/>
    </row>
    <row r="782" customFormat="false" ht="15" hidden="false" customHeight="false" outlineLevel="0" collapsed="false">
      <c r="B782" s="7"/>
      <c r="C782" s="7"/>
      <c r="D782" s="7"/>
    </row>
    <row r="783" customFormat="false" ht="15" hidden="false" customHeight="false" outlineLevel="0" collapsed="false">
      <c r="B783" s="7"/>
      <c r="C783" s="7"/>
      <c r="D783" s="7"/>
    </row>
    <row r="784" customFormat="false" ht="15" hidden="false" customHeight="false" outlineLevel="0" collapsed="false">
      <c r="B784" s="7"/>
      <c r="C784" s="7"/>
      <c r="D784" s="7"/>
    </row>
    <row r="785" customFormat="false" ht="15" hidden="false" customHeight="false" outlineLevel="0" collapsed="false">
      <c r="B785" s="7"/>
      <c r="C785" s="7"/>
      <c r="D785" s="7"/>
    </row>
    <row r="786" customFormat="false" ht="15" hidden="false" customHeight="false" outlineLevel="0" collapsed="false">
      <c r="B786" s="7"/>
      <c r="C786" s="7"/>
      <c r="D786" s="7"/>
    </row>
    <row r="787" customFormat="false" ht="15" hidden="false" customHeight="false" outlineLevel="0" collapsed="false">
      <c r="B787" s="7"/>
      <c r="C787" s="7"/>
      <c r="D787" s="7"/>
    </row>
    <row r="788" customFormat="false" ht="15" hidden="false" customHeight="false" outlineLevel="0" collapsed="false">
      <c r="B788" s="7"/>
      <c r="C788" s="7"/>
      <c r="D788" s="7"/>
    </row>
    <row r="789" customFormat="false" ht="15" hidden="false" customHeight="false" outlineLevel="0" collapsed="false">
      <c r="B789" s="7"/>
      <c r="C789" s="7"/>
      <c r="D789" s="7"/>
    </row>
    <row r="790" customFormat="false" ht="15" hidden="false" customHeight="false" outlineLevel="0" collapsed="false">
      <c r="B790" s="7"/>
      <c r="C790" s="7"/>
      <c r="D790" s="7"/>
    </row>
    <row r="791" customFormat="false" ht="15" hidden="false" customHeight="false" outlineLevel="0" collapsed="false">
      <c r="B791" s="7"/>
      <c r="C791" s="7"/>
      <c r="D791" s="7"/>
    </row>
    <row r="792" customFormat="false" ht="15" hidden="false" customHeight="false" outlineLevel="0" collapsed="false">
      <c r="B792" s="7"/>
      <c r="C792" s="7"/>
      <c r="D792" s="7"/>
    </row>
    <row r="793" customFormat="false" ht="15" hidden="false" customHeight="false" outlineLevel="0" collapsed="false">
      <c r="B793" s="7"/>
      <c r="C793" s="7"/>
      <c r="D793" s="7"/>
    </row>
    <row r="794" customFormat="false" ht="15" hidden="false" customHeight="false" outlineLevel="0" collapsed="false">
      <c r="B794" s="7"/>
      <c r="C794" s="7"/>
      <c r="D794" s="7"/>
    </row>
    <row r="795" customFormat="false" ht="15" hidden="false" customHeight="false" outlineLevel="0" collapsed="false">
      <c r="B795" s="7"/>
      <c r="C795" s="7"/>
      <c r="D795" s="7"/>
    </row>
    <row r="796" customFormat="false" ht="15" hidden="false" customHeight="false" outlineLevel="0" collapsed="false">
      <c r="B796" s="7"/>
      <c r="C796" s="7"/>
      <c r="D796" s="7"/>
    </row>
    <row r="797" customFormat="false" ht="15" hidden="false" customHeight="false" outlineLevel="0" collapsed="false">
      <c r="B797" s="7"/>
      <c r="C797" s="7"/>
      <c r="D797" s="7"/>
    </row>
    <row r="798" customFormat="false" ht="15" hidden="false" customHeight="false" outlineLevel="0" collapsed="false">
      <c r="B798" s="7"/>
      <c r="C798" s="7"/>
      <c r="D798" s="7"/>
    </row>
    <row r="799" customFormat="false" ht="15" hidden="false" customHeight="false" outlineLevel="0" collapsed="false">
      <c r="B799" s="7"/>
      <c r="C799" s="7"/>
      <c r="D799" s="7"/>
    </row>
    <row r="800" customFormat="false" ht="15" hidden="false" customHeight="false" outlineLevel="0" collapsed="false">
      <c r="B800" s="7"/>
      <c r="C800" s="7"/>
      <c r="D800" s="7"/>
    </row>
    <row r="801" customFormat="false" ht="15" hidden="false" customHeight="false" outlineLevel="0" collapsed="false">
      <c r="B801" s="7"/>
      <c r="C801" s="7"/>
      <c r="D801" s="7"/>
    </row>
    <row r="802" customFormat="false" ht="15" hidden="false" customHeight="false" outlineLevel="0" collapsed="false">
      <c r="B802" s="7"/>
      <c r="C802" s="7"/>
      <c r="D802" s="7"/>
    </row>
    <row r="803" customFormat="false" ht="15" hidden="false" customHeight="false" outlineLevel="0" collapsed="false">
      <c r="B803" s="7"/>
      <c r="C803" s="7"/>
      <c r="D803" s="7"/>
    </row>
    <row r="804" customFormat="false" ht="15" hidden="false" customHeight="false" outlineLevel="0" collapsed="false">
      <c r="B804" s="7"/>
      <c r="C804" s="7"/>
      <c r="D804" s="7"/>
    </row>
    <row r="805" customFormat="false" ht="15" hidden="false" customHeight="false" outlineLevel="0" collapsed="false">
      <c r="B805" s="7"/>
      <c r="C805" s="7"/>
      <c r="D805" s="7"/>
    </row>
    <row r="806" customFormat="false" ht="15" hidden="false" customHeight="false" outlineLevel="0" collapsed="false">
      <c r="B806" s="7"/>
      <c r="C806" s="7"/>
      <c r="D806" s="7"/>
    </row>
    <row r="807" customFormat="false" ht="15" hidden="false" customHeight="false" outlineLevel="0" collapsed="false">
      <c r="B807" s="7"/>
      <c r="C807" s="7"/>
      <c r="D807" s="7"/>
    </row>
    <row r="808" customFormat="false" ht="15" hidden="false" customHeight="false" outlineLevel="0" collapsed="false">
      <c r="B808" s="7"/>
      <c r="C808" s="7"/>
      <c r="D808" s="7"/>
    </row>
    <row r="809" customFormat="false" ht="15" hidden="false" customHeight="false" outlineLevel="0" collapsed="false">
      <c r="B809" s="7"/>
      <c r="C809" s="7"/>
      <c r="D809" s="7"/>
    </row>
    <row r="810" customFormat="false" ht="15" hidden="false" customHeight="false" outlineLevel="0" collapsed="false">
      <c r="B810" s="7"/>
      <c r="C810" s="7"/>
      <c r="D810" s="7"/>
    </row>
    <row r="811" customFormat="false" ht="15" hidden="false" customHeight="false" outlineLevel="0" collapsed="false">
      <c r="B811" s="7"/>
      <c r="C811" s="7"/>
      <c r="D811" s="7"/>
    </row>
    <row r="812" customFormat="false" ht="15" hidden="false" customHeight="false" outlineLevel="0" collapsed="false">
      <c r="B812" s="7"/>
      <c r="C812" s="7"/>
      <c r="D812" s="7"/>
    </row>
    <row r="813" customFormat="false" ht="15" hidden="false" customHeight="false" outlineLevel="0" collapsed="false">
      <c r="B813" s="7"/>
      <c r="C813" s="7"/>
      <c r="D813" s="7"/>
    </row>
    <row r="814" customFormat="false" ht="15" hidden="false" customHeight="false" outlineLevel="0" collapsed="false">
      <c r="B814" s="7"/>
      <c r="C814" s="7"/>
      <c r="D814" s="7"/>
    </row>
    <row r="815" customFormat="false" ht="15" hidden="false" customHeight="false" outlineLevel="0" collapsed="false">
      <c r="B815" s="7"/>
      <c r="C815" s="7"/>
      <c r="D815" s="7"/>
    </row>
    <row r="816" customFormat="false" ht="15" hidden="false" customHeight="false" outlineLevel="0" collapsed="false">
      <c r="B816" s="7"/>
      <c r="C816" s="7"/>
      <c r="D816" s="7"/>
    </row>
    <row r="817" customFormat="false" ht="15" hidden="false" customHeight="false" outlineLevel="0" collapsed="false">
      <c r="B817" s="7"/>
      <c r="C817" s="7"/>
      <c r="D817" s="7"/>
    </row>
    <row r="818" customFormat="false" ht="15" hidden="false" customHeight="false" outlineLevel="0" collapsed="false">
      <c r="B818" s="7"/>
      <c r="C818" s="7"/>
      <c r="D818" s="7"/>
    </row>
    <row r="819" customFormat="false" ht="15" hidden="false" customHeight="false" outlineLevel="0" collapsed="false">
      <c r="B819" s="7"/>
      <c r="C819" s="7"/>
      <c r="D819" s="7"/>
    </row>
    <row r="820" customFormat="false" ht="15" hidden="false" customHeight="false" outlineLevel="0" collapsed="false">
      <c r="B820" s="7"/>
      <c r="C820" s="7"/>
      <c r="D820" s="7"/>
    </row>
    <row r="821" customFormat="false" ht="15" hidden="false" customHeight="false" outlineLevel="0" collapsed="false">
      <c r="B821" s="7"/>
      <c r="C821" s="7"/>
      <c r="D821" s="7"/>
    </row>
    <row r="822" customFormat="false" ht="15" hidden="false" customHeight="false" outlineLevel="0" collapsed="false">
      <c r="B822" s="7"/>
      <c r="C822" s="7"/>
      <c r="D822" s="7"/>
    </row>
    <row r="823" customFormat="false" ht="15" hidden="false" customHeight="false" outlineLevel="0" collapsed="false">
      <c r="B823" s="7"/>
      <c r="C823" s="7"/>
      <c r="D823" s="7"/>
    </row>
    <row r="824" customFormat="false" ht="15" hidden="false" customHeight="false" outlineLevel="0" collapsed="false">
      <c r="B824" s="7"/>
      <c r="C824" s="7"/>
      <c r="D824" s="7"/>
    </row>
    <row r="825" customFormat="false" ht="15" hidden="false" customHeight="false" outlineLevel="0" collapsed="false">
      <c r="B825" s="7"/>
      <c r="C825" s="7"/>
      <c r="D825" s="7"/>
    </row>
    <row r="826" customFormat="false" ht="15" hidden="false" customHeight="false" outlineLevel="0" collapsed="false">
      <c r="B826" s="7"/>
      <c r="C826" s="7"/>
      <c r="D826" s="7"/>
    </row>
    <row r="827" customFormat="false" ht="15" hidden="false" customHeight="false" outlineLevel="0" collapsed="false">
      <c r="B827" s="7"/>
      <c r="C827" s="7"/>
      <c r="D827" s="7"/>
    </row>
    <row r="828" customFormat="false" ht="15" hidden="false" customHeight="false" outlineLevel="0" collapsed="false">
      <c r="B828" s="7"/>
      <c r="C828" s="7"/>
      <c r="D828" s="7"/>
    </row>
    <row r="829" customFormat="false" ht="15" hidden="false" customHeight="false" outlineLevel="0" collapsed="false">
      <c r="B829" s="7"/>
      <c r="C829" s="7"/>
      <c r="D829" s="7"/>
    </row>
    <row r="830" customFormat="false" ht="15" hidden="false" customHeight="false" outlineLevel="0" collapsed="false">
      <c r="B830" s="7"/>
      <c r="C830" s="7"/>
      <c r="D830" s="7"/>
    </row>
    <row r="831" customFormat="false" ht="15" hidden="false" customHeight="false" outlineLevel="0" collapsed="false">
      <c r="B831" s="7"/>
      <c r="C831" s="7"/>
      <c r="D831" s="7"/>
    </row>
    <row r="832" customFormat="false" ht="15" hidden="false" customHeight="false" outlineLevel="0" collapsed="false">
      <c r="B832" s="7"/>
      <c r="C832" s="7"/>
      <c r="D832" s="7"/>
    </row>
    <row r="833" customFormat="false" ht="15" hidden="false" customHeight="false" outlineLevel="0" collapsed="false">
      <c r="B833" s="7"/>
      <c r="C833" s="7"/>
      <c r="D833" s="7"/>
    </row>
    <row r="834" customFormat="false" ht="15" hidden="false" customHeight="false" outlineLevel="0" collapsed="false">
      <c r="B834" s="7"/>
      <c r="C834" s="7"/>
      <c r="D834" s="7"/>
    </row>
    <row r="835" customFormat="false" ht="15" hidden="false" customHeight="false" outlineLevel="0" collapsed="false">
      <c r="B835" s="7"/>
      <c r="C835" s="7"/>
      <c r="D835" s="7"/>
    </row>
    <row r="836" customFormat="false" ht="15" hidden="false" customHeight="false" outlineLevel="0" collapsed="false">
      <c r="B836" s="7"/>
      <c r="C836" s="7"/>
      <c r="D836" s="7"/>
    </row>
    <row r="837" customFormat="false" ht="15" hidden="false" customHeight="false" outlineLevel="0" collapsed="false">
      <c r="B837" s="7"/>
      <c r="C837" s="7"/>
      <c r="D837" s="7"/>
    </row>
    <row r="838" customFormat="false" ht="15" hidden="false" customHeight="false" outlineLevel="0" collapsed="false">
      <c r="B838" s="7"/>
      <c r="C838" s="7"/>
      <c r="D838" s="7"/>
    </row>
    <row r="839" customFormat="false" ht="15" hidden="false" customHeight="false" outlineLevel="0" collapsed="false">
      <c r="B839" s="7"/>
      <c r="C839" s="7"/>
      <c r="D839" s="7"/>
    </row>
    <row r="840" customFormat="false" ht="15" hidden="false" customHeight="false" outlineLevel="0" collapsed="false">
      <c r="B840" s="7"/>
      <c r="C840" s="7"/>
      <c r="D840" s="7"/>
    </row>
    <row r="841" customFormat="false" ht="15" hidden="false" customHeight="false" outlineLevel="0" collapsed="false">
      <c r="B841" s="7"/>
      <c r="C841" s="7"/>
      <c r="D841" s="7"/>
    </row>
    <row r="842" customFormat="false" ht="15" hidden="false" customHeight="false" outlineLevel="0" collapsed="false">
      <c r="B842" s="7"/>
      <c r="C842" s="7"/>
      <c r="D842" s="7"/>
    </row>
    <row r="843" customFormat="false" ht="15" hidden="false" customHeight="false" outlineLevel="0" collapsed="false">
      <c r="B843" s="7"/>
      <c r="C843" s="7"/>
      <c r="D843" s="7"/>
    </row>
    <row r="844" customFormat="false" ht="15" hidden="false" customHeight="false" outlineLevel="0" collapsed="false">
      <c r="B844" s="7"/>
      <c r="C844" s="7"/>
      <c r="D844" s="7"/>
    </row>
    <row r="845" customFormat="false" ht="15" hidden="false" customHeight="false" outlineLevel="0" collapsed="false">
      <c r="B845" s="7"/>
      <c r="C845" s="7"/>
      <c r="D845" s="7"/>
    </row>
    <row r="846" customFormat="false" ht="15" hidden="false" customHeight="false" outlineLevel="0" collapsed="false">
      <c r="B846" s="7"/>
      <c r="C846" s="7"/>
      <c r="D846" s="7"/>
    </row>
    <row r="847" customFormat="false" ht="15" hidden="false" customHeight="false" outlineLevel="0" collapsed="false">
      <c r="B847" s="7"/>
      <c r="C847" s="7"/>
      <c r="D847" s="7"/>
    </row>
    <row r="848" customFormat="false" ht="15" hidden="false" customHeight="false" outlineLevel="0" collapsed="false">
      <c r="B848" s="7"/>
      <c r="C848" s="7"/>
      <c r="D848" s="7"/>
    </row>
    <row r="849" customFormat="false" ht="15" hidden="false" customHeight="false" outlineLevel="0" collapsed="false">
      <c r="B849" s="7"/>
      <c r="C849" s="7"/>
      <c r="D849" s="7"/>
    </row>
    <row r="850" customFormat="false" ht="15" hidden="false" customHeight="false" outlineLevel="0" collapsed="false">
      <c r="B850" s="7"/>
      <c r="C850" s="7"/>
      <c r="D850" s="7"/>
    </row>
    <row r="851" customFormat="false" ht="15" hidden="false" customHeight="false" outlineLevel="0" collapsed="false">
      <c r="B851" s="7"/>
      <c r="C851" s="7"/>
      <c r="D851" s="7"/>
    </row>
    <row r="852" customFormat="false" ht="15" hidden="false" customHeight="false" outlineLevel="0" collapsed="false">
      <c r="B852" s="7"/>
      <c r="C852" s="7"/>
      <c r="D852" s="7"/>
    </row>
    <row r="853" customFormat="false" ht="15" hidden="false" customHeight="false" outlineLevel="0" collapsed="false">
      <c r="B853" s="7"/>
      <c r="C853" s="7"/>
      <c r="D853" s="7"/>
    </row>
    <row r="854" customFormat="false" ht="15" hidden="false" customHeight="false" outlineLevel="0" collapsed="false">
      <c r="B854" s="7"/>
      <c r="C854" s="7"/>
      <c r="D854" s="7"/>
    </row>
    <row r="855" customFormat="false" ht="15" hidden="false" customHeight="false" outlineLevel="0" collapsed="false">
      <c r="B855" s="7"/>
      <c r="C855" s="7"/>
      <c r="D855" s="7"/>
    </row>
    <row r="856" customFormat="false" ht="15" hidden="false" customHeight="false" outlineLevel="0" collapsed="false">
      <c r="B856" s="7"/>
      <c r="C856" s="7"/>
      <c r="D856" s="7"/>
    </row>
    <row r="857" customFormat="false" ht="15" hidden="false" customHeight="false" outlineLevel="0" collapsed="false">
      <c r="B857" s="7"/>
      <c r="C857" s="7"/>
      <c r="D857" s="7"/>
    </row>
    <row r="858" customFormat="false" ht="15" hidden="false" customHeight="false" outlineLevel="0" collapsed="false">
      <c r="B858" s="7"/>
      <c r="C858" s="7"/>
      <c r="D858" s="7"/>
    </row>
    <row r="859" customFormat="false" ht="15" hidden="false" customHeight="false" outlineLevel="0" collapsed="false">
      <c r="B859" s="7"/>
      <c r="C859" s="7"/>
      <c r="D859" s="7"/>
    </row>
    <row r="860" customFormat="false" ht="15" hidden="false" customHeight="false" outlineLevel="0" collapsed="false">
      <c r="B860" s="7"/>
      <c r="C860" s="7"/>
      <c r="D860" s="7"/>
    </row>
    <row r="861" customFormat="false" ht="15" hidden="false" customHeight="false" outlineLevel="0" collapsed="false">
      <c r="B861" s="7"/>
      <c r="C861" s="7"/>
      <c r="D861" s="7"/>
    </row>
    <row r="862" customFormat="false" ht="15" hidden="false" customHeight="false" outlineLevel="0" collapsed="false">
      <c r="B862" s="7"/>
      <c r="C862" s="7"/>
      <c r="D862" s="7"/>
    </row>
    <row r="863" customFormat="false" ht="15" hidden="false" customHeight="false" outlineLevel="0" collapsed="false">
      <c r="B863" s="7"/>
      <c r="C863" s="7"/>
      <c r="D863" s="7"/>
    </row>
    <row r="864" customFormat="false" ht="15" hidden="false" customHeight="false" outlineLevel="0" collapsed="false">
      <c r="B864" s="7"/>
      <c r="C864" s="7"/>
      <c r="D864" s="7"/>
    </row>
    <row r="865" customFormat="false" ht="15" hidden="false" customHeight="false" outlineLevel="0" collapsed="false">
      <c r="B865" s="7"/>
      <c r="C865" s="7"/>
      <c r="D865" s="7"/>
    </row>
    <row r="866" customFormat="false" ht="15" hidden="false" customHeight="false" outlineLevel="0" collapsed="false">
      <c r="B866" s="7"/>
      <c r="C866" s="7"/>
      <c r="D866" s="7"/>
    </row>
    <row r="867" customFormat="false" ht="15" hidden="false" customHeight="false" outlineLevel="0" collapsed="false">
      <c r="B867" s="7"/>
      <c r="C867" s="7"/>
      <c r="D867" s="7"/>
    </row>
    <row r="868" customFormat="false" ht="15" hidden="false" customHeight="false" outlineLevel="0" collapsed="false">
      <c r="B868" s="7"/>
      <c r="C868" s="7"/>
      <c r="D868" s="7"/>
    </row>
    <row r="869" customFormat="false" ht="15" hidden="false" customHeight="false" outlineLevel="0" collapsed="false">
      <c r="B869" s="7"/>
      <c r="C869" s="7"/>
      <c r="D869" s="7"/>
    </row>
    <row r="870" customFormat="false" ht="15" hidden="false" customHeight="false" outlineLevel="0" collapsed="false">
      <c r="B870" s="7"/>
      <c r="C870" s="7"/>
      <c r="D870" s="7"/>
    </row>
    <row r="871" customFormat="false" ht="15" hidden="false" customHeight="false" outlineLevel="0" collapsed="false">
      <c r="B871" s="7"/>
      <c r="C871" s="7"/>
      <c r="D871" s="7"/>
    </row>
    <row r="872" customFormat="false" ht="15" hidden="false" customHeight="false" outlineLevel="0" collapsed="false">
      <c r="B872" s="7"/>
      <c r="C872" s="7"/>
      <c r="D872" s="7"/>
    </row>
    <row r="873" customFormat="false" ht="15" hidden="false" customHeight="false" outlineLevel="0" collapsed="false">
      <c r="B873" s="7"/>
      <c r="C873" s="7"/>
      <c r="D873" s="7"/>
    </row>
    <row r="874" customFormat="false" ht="15" hidden="false" customHeight="false" outlineLevel="0" collapsed="false">
      <c r="B874" s="7"/>
      <c r="C874" s="7"/>
      <c r="D874" s="7"/>
    </row>
    <row r="875" customFormat="false" ht="15" hidden="false" customHeight="false" outlineLevel="0" collapsed="false">
      <c r="B875" s="7"/>
      <c r="C875" s="7"/>
      <c r="D875" s="7"/>
    </row>
    <row r="876" customFormat="false" ht="15" hidden="false" customHeight="false" outlineLevel="0" collapsed="false">
      <c r="B876" s="7"/>
      <c r="C876" s="7"/>
      <c r="D876" s="7"/>
    </row>
    <row r="877" customFormat="false" ht="15" hidden="false" customHeight="false" outlineLevel="0" collapsed="false">
      <c r="B877" s="7"/>
      <c r="C877" s="7"/>
      <c r="D877" s="7"/>
    </row>
    <row r="878" customFormat="false" ht="15" hidden="false" customHeight="false" outlineLevel="0" collapsed="false">
      <c r="B878" s="7"/>
      <c r="C878" s="7"/>
      <c r="D878" s="7"/>
    </row>
    <row r="879" customFormat="false" ht="15" hidden="false" customHeight="false" outlineLevel="0" collapsed="false">
      <c r="B879" s="7"/>
      <c r="C879" s="7"/>
      <c r="D879" s="7"/>
    </row>
    <row r="880" customFormat="false" ht="15" hidden="false" customHeight="false" outlineLevel="0" collapsed="false">
      <c r="B880" s="7"/>
      <c r="C880" s="7"/>
      <c r="D880" s="7"/>
    </row>
    <row r="881" customFormat="false" ht="15" hidden="false" customHeight="false" outlineLevel="0" collapsed="false">
      <c r="B881" s="7"/>
      <c r="C881" s="7"/>
      <c r="D881" s="7"/>
    </row>
    <row r="882" customFormat="false" ht="15" hidden="false" customHeight="false" outlineLevel="0" collapsed="false">
      <c r="B882" s="7"/>
      <c r="C882" s="7"/>
      <c r="D882" s="7"/>
    </row>
    <row r="883" customFormat="false" ht="15" hidden="false" customHeight="false" outlineLevel="0" collapsed="false">
      <c r="B883" s="7"/>
      <c r="C883" s="7"/>
      <c r="D883" s="7"/>
    </row>
    <row r="884" customFormat="false" ht="15" hidden="false" customHeight="false" outlineLevel="0" collapsed="false">
      <c r="B884" s="7"/>
      <c r="C884" s="7"/>
      <c r="D884" s="7"/>
    </row>
    <row r="885" customFormat="false" ht="15" hidden="false" customHeight="false" outlineLevel="0" collapsed="false">
      <c r="B885" s="7"/>
      <c r="C885" s="7"/>
      <c r="D885" s="7"/>
    </row>
    <row r="886" customFormat="false" ht="15" hidden="false" customHeight="false" outlineLevel="0" collapsed="false">
      <c r="B886" s="7"/>
      <c r="C886" s="7"/>
      <c r="D886" s="7"/>
    </row>
    <row r="887" customFormat="false" ht="15" hidden="false" customHeight="false" outlineLevel="0" collapsed="false">
      <c r="B887" s="7"/>
      <c r="C887" s="7"/>
      <c r="D887" s="7"/>
    </row>
    <row r="888" customFormat="false" ht="15" hidden="false" customHeight="false" outlineLevel="0" collapsed="false">
      <c r="B888" s="7"/>
      <c r="C888" s="7"/>
      <c r="D888" s="7"/>
    </row>
    <row r="889" customFormat="false" ht="15" hidden="false" customHeight="false" outlineLevel="0" collapsed="false">
      <c r="B889" s="7"/>
      <c r="C889" s="7"/>
      <c r="D889" s="7"/>
    </row>
    <row r="890" customFormat="false" ht="15" hidden="false" customHeight="false" outlineLevel="0" collapsed="false">
      <c r="B890" s="7"/>
      <c r="C890" s="7"/>
      <c r="D890" s="7"/>
    </row>
    <row r="891" customFormat="false" ht="15" hidden="false" customHeight="false" outlineLevel="0" collapsed="false">
      <c r="B891" s="7"/>
      <c r="C891" s="7"/>
      <c r="D891" s="7"/>
    </row>
    <row r="892" customFormat="false" ht="15" hidden="false" customHeight="false" outlineLevel="0" collapsed="false">
      <c r="B892" s="7"/>
      <c r="C892" s="7"/>
      <c r="D892" s="7"/>
    </row>
    <row r="893" customFormat="false" ht="15" hidden="false" customHeight="false" outlineLevel="0" collapsed="false">
      <c r="B893" s="7"/>
      <c r="C893" s="7"/>
      <c r="D893" s="7"/>
    </row>
    <row r="894" customFormat="false" ht="15" hidden="false" customHeight="false" outlineLevel="0" collapsed="false">
      <c r="B894" s="7"/>
      <c r="C894" s="7"/>
      <c r="D894" s="7"/>
    </row>
    <row r="895" customFormat="false" ht="15" hidden="false" customHeight="false" outlineLevel="0" collapsed="false">
      <c r="B895" s="7"/>
      <c r="C895" s="7"/>
      <c r="D895" s="7"/>
    </row>
    <row r="896" customFormat="false" ht="15" hidden="false" customHeight="false" outlineLevel="0" collapsed="false">
      <c r="B896" s="7"/>
      <c r="C896" s="7"/>
      <c r="D896" s="7"/>
    </row>
    <row r="897" customFormat="false" ht="15" hidden="false" customHeight="false" outlineLevel="0" collapsed="false">
      <c r="B897" s="7"/>
      <c r="C897" s="7"/>
      <c r="D897" s="7"/>
    </row>
    <row r="898" customFormat="false" ht="15" hidden="false" customHeight="false" outlineLevel="0" collapsed="false">
      <c r="B898" s="7"/>
      <c r="C898" s="7"/>
      <c r="D898" s="7"/>
    </row>
    <row r="899" customFormat="false" ht="15" hidden="false" customHeight="false" outlineLevel="0" collapsed="false">
      <c r="B899" s="7"/>
      <c r="C899" s="7"/>
      <c r="D899" s="7"/>
    </row>
    <row r="900" customFormat="false" ht="15" hidden="false" customHeight="false" outlineLevel="0" collapsed="false">
      <c r="B900" s="7"/>
      <c r="C900" s="7"/>
      <c r="D900" s="7"/>
    </row>
    <row r="901" customFormat="false" ht="15" hidden="false" customHeight="false" outlineLevel="0" collapsed="false">
      <c r="B901" s="7"/>
      <c r="C901" s="7"/>
      <c r="D901" s="7"/>
    </row>
    <row r="902" customFormat="false" ht="15" hidden="false" customHeight="false" outlineLevel="0" collapsed="false">
      <c r="B902" s="7"/>
      <c r="C902" s="7"/>
      <c r="D902" s="7"/>
    </row>
    <row r="903" customFormat="false" ht="15" hidden="false" customHeight="false" outlineLevel="0" collapsed="false">
      <c r="B903" s="7"/>
      <c r="C903" s="7"/>
      <c r="D903" s="7"/>
    </row>
    <row r="904" customFormat="false" ht="15" hidden="false" customHeight="false" outlineLevel="0" collapsed="false">
      <c r="B904" s="7"/>
      <c r="C904" s="7"/>
      <c r="D904" s="7"/>
    </row>
    <row r="905" customFormat="false" ht="15" hidden="false" customHeight="false" outlineLevel="0" collapsed="false">
      <c r="B905" s="7"/>
      <c r="C905" s="7"/>
      <c r="D905" s="7"/>
    </row>
    <row r="906" customFormat="false" ht="15" hidden="false" customHeight="false" outlineLevel="0" collapsed="false">
      <c r="B906" s="7"/>
      <c r="C906" s="7"/>
      <c r="D906" s="7"/>
    </row>
    <row r="907" customFormat="false" ht="15" hidden="false" customHeight="false" outlineLevel="0" collapsed="false">
      <c r="B907" s="7"/>
      <c r="C907" s="7"/>
      <c r="D907" s="7"/>
    </row>
    <row r="908" customFormat="false" ht="15" hidden="false" customHeight="false" outlineLevel="0" collapsed="false">
      <c r="B908" s="7"/>
      <c r="C908" s="7"/>
      <c r="D908" s="7"/>
    </row>
    <row r="909" customFormat="false" ht="15" hidden="false" customHeight="false" outlineLevel="0" collapsed="false">
      <c r="B909" s="7"/>
      <c r="C909" s="7"/>
      <c r="D909" s="7"/>
    </row>
    <row r="910" customFormat="false" ht="15" hidden="false" customHeight="false" outlineLevel="0" collapsed="false">
      <c r="B910" s="7"/>
      <c r="C910" s="7"/>
      <c r="D910" s="7"/>
    </row>
    <row r="911" customFormat="false" ht="15" hidden="false" customHeight="false" outlineLevel="0" collapsed="false">
      <c r="B911" s="7"/>
      <c r="C911" s="7"/>
      <c r="D911" s="7"/>
    </row>
    <row r="912" customFormat="false" ht="15" hidden="false" customHeight="false" outlineLevel="0" collapsed="false">
      <c r="B912" s="7"/>
      <c r="C912" s="7"/>
      <c r="D912" s="7"/>
    </row>
    <row r="913" customFormat="false" ht="15" hidden="false" customHeight="false" outlineLevel="0" collapsed="false">
      <c r="B913" s="7"/>
      <c r="C913" s="7"/>
      <c r="D913" s="7"/>
    </row>
    <row r="914" customFormat="false" ht="15" hidden="false" customHeight="false" outlineLevel="0" collapsed="false">
      <c r="B914" s="7"/>
      <c r="C914" s="7"/>
      <c r="D914" s="7"/>
    </row>
    <row r="915" customFormat="false" ht="15" hidden="false" customHeight="false" outlineLevel="0" collapsed="false">
      <c r="B915" s="7"/>
      <c r="C915" s="7"/>
      <c r="D915" s="7"/>
    </row>
    <row r="916" customFormat="false" ht="15" hidden="false" customHeight="false" outlineLevel="0" collapsed="false">
      <c r="B916" s="7"/>
      <c r="C916" s="7"/>
      <c r="D916" s="7"/>
    </row>
    <row r="917" customFormat="false" ht="15" hidden="false" customHeight="false" outlineLevel="0" collapsed="false">
      <c r="B917" s="7"/>
      <c r="C917" s="7"/>
      <c r="D917" s="7"/>
    </row>
    <row r="918" customFormat="false" ht="15" hidden="false" customHeight="false" outlineLevel="0" collapsed="false">
      <c r="B918" s="7"/>
      <c r="C918" s="7"/>
      <c r="D918" s="7"/>
    </row>
    <row r="919" customFormat="false" ht="15" hidden="false" customHeight="false" outlineLevel="0" collapsed="false">
      <c r="B919" s="7"/>
      <c r="C919" s="7"/>
      <c r="D919" s="7"/>
    </row>
    <row r="920" customFormat="false" ht="15" hidden="false" customHeight="false" outlineLevel="0" collapsed="false">
      <c r="B920" s="7"/>
      <c r="C920" s="7"/>
      <c r="D920" s="7"/>
    </row>
    <row r="921" customFormat="false" ht="15" hidden="false" customHeight="false" outlineLevel="0" collapsed="false">
      <c r="B921" s="7"/>
      <c r="C921" s="7"/>
      <c r="D921" s="7"/>
    </row>
    <row r="922" customFormat="false" ht="15" hidden="false" customHeight="false" outlineLevel="0" collapsed="false">
      <c r="B922" s="7"/>
      <c r="C922" s="7"/>
      <c r="D922" s="7"/>
    </row>
    <row r="923" customFormat="false" ht="15" hidden="false" customHeight="false" outlineLevel="0" collapsed="false">
      <c r="B923" s="7"/>
      <c r="C923" s="7"/>
      <c r="D923" s="7"/>
    </row>
    <row r="924" customFormat="false" ht="15" hidden="false" customHeight="false" outlineLevel="0" collapsed="false">
      <c r="B924" s="7"/>
      <c r="C924" s="7"/>
      <c r="D924" s="7"/>
    </row>
    <row r="925" customFormat="false" ht="15" hidden="false" customHeight="false" outlineLevel="0" collapsed="false">
      <c r="B925" s="7"/>
      <c r="C925" s="7"/>
      <c r="D925" s="7"/>
    </row>
    <row r="926" customFormat="false" ht="15" hidden="false" customHeight="false" outlineLevel="0" collapsed="false">
      <c r="B926" s="7"/>
      <c r="C926" s="7"/>
      <c r="D926" s="7"/>
    </row>
    <row r="927" customFormat="false" ht="15" hidden="false" customHeight="false" outlineLevel="0" collapsed="false">
      <c r="B927" s="7"/>
      <c r="C927" s="7"/>
      <c r="D927" s="7"/>
    </row>
    <row r="928" customFormat="false" ht="15" hidden="false" customHeight="false" outlineLevel="0" collapsed="false">
      <c r="B928" s="7"/>
      <c r="C928" s="7"/>
      <c r="D928" s="7"/>
    </row>
    <row r="929" customFormat="false" ht="15" hidden="false" customHeight="false" outlineLevel="0" collapsed="false">
      <c r="B929" s="7"/>
      <c r="C929" s="7"/>
      <c r="D929" s="7"/>
    </row>
    <row r="930" customFormat="false" ht="15" hidden="false" customHeight="false" outlineLevel="0" collapsed="false">
      <c r="B930" s="7"/>
      <c r="C930" s="7"/>
      <c r="D930" s="7"/>
    </row>
    <row r="931" customFormat="false" ht="15" hidden="false" customHeight="false" outlineLevel="0" collapsed="false">
      <c r="B931" s="7"/>
      <c r="C931" s="7"/>
      <c r="D931" s="7"/>
    </row>
    <row r="932" customFormat="false" ht="15" hidden="false" customHeight="false" outlineLevel="0" collapsed="false">
      <c r="B932" s="7"/>
      <c r="C932" s="7"/>
      <c r="D932" s="7"/>
    </row>
    <row r="933" customFormat="false" ht="15" hidden="false" customHeight="false" outlineLevel="0" collapsed="false">
      <c r="B933" s="7"/>
      <c r="C933" s="7"/>
      <c r="D933" s="7"/>
    </row>
    <row r="934" customFormat="false" ht="15" hidden="false" customHeight="false" outlineLevel="0" collapsed="false">
      <c r="B934" s="7"/>
      <c r="C934" s="7"/>
      <c r="D934" s="7"/>
    </row>
    <row r="935" customFormat="false" ht="15" hidden="false" customHeight="false" outlineLevel="0" collapsed="false">
      <c r="B935" s="7"/>
      <c r="C935" s="7"/>
      <c r="D935" s="7"/>
    </row>
    <row r="936" customFormat="false" ht="15" hidden="false" customHeight="false" outlineLevel="0" collapsed="false">
      <c r="B936" s="7"/>
      <c r="C936" s="7"/>
      <c r="D936" s="7"/>
    </row>
    <row r="937" customFormat="false" ht="15" hidden="false" customHeight="false" outlineLevel="0" collapsed="false">
      <c r="B937" s="7"/>
      <c r="C937" s="7"/>
      <c r="D937" s="7"/>
    </row>
    <row r="938" customFormat="false" ht="15" hidden="false" customHeight="false" outlineLevel="0" collapsed="false">
      <c r="B938" s="7"/>
      <c r="C938" s="7"/>
      <c r="D938" s="7"/>
    </row>
    <row r="939" customFormat="false" ht="15" hidden="false" customHeight="false" outlineLevel="0" collapsed="false">
      <c r="B939" s="7"/>
      <c r="C939" s="7"/>
      <c r="D939" s="7"/>
    </row>
    <row r="940" customFormat="false" ht="15" hidden="false" customHeight="false" outlineLevel="0" collapsed="false">
      <c r="B940" s="7"/>
      <c r="C940" s="7"/>
      <c r="D940" s="7"/>
    </row>
    <row r="941" customFormat="false" ht="15" hidden="false" customHeight="false" outlineLevel="0" collapsed="false">
      <c r="B941" s="7"/>
      <c r="C941" s="7"/>
      <c r="D941" s="7"/>
    </row>
    <row r="942" customFormat="false" ht="15" hidden="false" customHeight="false" outlineLevel="0" collapsed="false">
      <c r="B942" s="7"/>
      <c r="C942" s="7"/>
      <c r="D942" s="7"/>
    </row>
    <row r="943" customFormat="false" ht="15" hidden="false" customHeight="false" outlineLevel="0" collapsed="false">
      <c r="B943" s="7"/>
      <c r="C943" s="7"/>
      <c r="D943" s="7"/>
    </row>
    <row r="944" customFormat="false" ht="15" hidden="false" customHeight="false" outlineLevel="0" collapsed="false">
      <c r="B944" s="7"/>
      <c r="C944" s="7"/>
      <c r="D944" s="7"/>
    </row>
    <row r="945" customFormat="false" ht="15" hidden="false" customHeight="false" outlineLevel="0" collapsed="false">
      <c r="B945" s="7"/>
      <c r="C945" s="7"/>
      <c r="D945" s="7"/>
    </row>
    <row r="946" customFormat="false" ht="15" hidden="false" customHeight="false" outlineLevel="0" collapsed="false">
      <c r="B946" s="7"/>
      <c r="C946" s="7"/>
      <c r="D946" s="7"/>
    </row>
    <row r="947" customFormat="false" ht="15" hidden="false" customHeight="false" outlineLevel="0" collapsed="false">
      <c r="B947" s="7"/>
      <c r="C947" s="7"/>
      <c r="D947" s="7"/>
    </row>
    <row r="948" customFormat="false" ht="15" hidden="false" customHeight="false" outlineLevel="0" collapsed="false">
      <c r="B948" s="7"/>
      <c r="C948" s="7"/>
      <c r="D948" s="7"/>
    </row>
    <row r="949" customFormat="false" ht="15" hidden="false" customHeight="false" outlineLevel="0" collapsed="false">
      <c r="B949" s="7"/>
      <c r="C949" s="7"/>
      <c r="D949" s="7"/>
    </row>
    <row r="950" customFormat="false" ht="15" hidden="false" customHeight="false" outlineLevel="0" collapsed="false">
      <c r="B950" s="7"/>
      <c r="C950" s="7"/>
      <c r="D950" s="7"/>
    </row>
    <row r="951" customFormat="false" ht="15" hidden="false" customHeight="false" outlineLevel="0" collapsed="false">
      <c r="B951" s="7"/>
      <c r="C951" s="7"/>
      <c r="D951" s="7"/>
    </row>
    <row r="952" customFormat="false" ht="15" hidden="false" customHeight="false" outlineLevel="0" collapsed="false">
      <c r="B952" s="7"/>
      <c r="C952" s="7"/>
      <c r="D952" s="7"/>
    </row>
    <row r="953" customFormat="false" ht="15" hidden="false" customHeight="false" outlineLevel="0" collapsed="false">
      <c r="B953" s="7"/>
      <c r="C953" s="7"/>
      <c r="D953" s="7"/>
    </row>
    <row r="954" customFormat="false" ht="15" hidden="false" customHeight="false" outlineLevel="0" collapsed="false">
      <c r="B954" s="7"/>
      <c r="C954" s="7"/>
      <c r="D954" s="7"/>
    </row>
    <row r="955" customFormat="false" ht="15" hidden="false" customHeight="false" outlineLevel="0" collapsed="false">
      <c r="B955" s="7"/>
      <c r="C955" s="7"/>
      <c r="D955" s="7"/>
    </row>
    <row r="956" customFormat="false" ht="15" hidden="false" customHeight="false" outlineLevel="0" collapsed="false">
      <c r="B956" s="7"/>
      <c r="C956" s="7"/>
      <c r="D956" s="7"/>
    </row>
    <row r="957" customFormat="false" ht="15" hidden="false" customHeight="false" outlineLevel="0" collapsed="false">
      <c r="B957" s="7"/>
      <c r="C957" s="7"/>
      <c r="D957" s="7"/>
    </row>
    <row r="958" customFormat="false" ht="15" hidden="false" customHeight="false" outlineLevel="0" collapsed="false">
      <c r="B958" s="7"/>
      <c r="C958" s="7"/>
      <c r="D958" s="7"/>
    </row>
    <row r="959" customFormat="false" ht="15" hidden="false" customHeight="false" outlineLevel="0" collapsed="false">
      <c r="B959" s="7"/>
      <c r="C959" s="7"/>
      <c r="D959" s="7"/>
    </row>
    <row r="960" customFormat="false" ht="15" hidden="false" customHeight="false" outlineLevel="0" collapsed="false">
      <c r="B960" s="7"/>
      <c r="C960" s="7"/>
      <c r="D960" s="7"/>
    </row>
    <row r="961" customFormat="false" ht="15" hidden="false" customHeight="false" outlineLevel="0" collapsed="false">
      <c r="B961" s="7"/>
      <c r="C961" s="7"/>
      <c r="D961" s="7"/>
    </row>
    <row r="962" customFormat="false" ht="15" hidden="false" customHeight="false" outlineLevel="0" collapsed="false">
      <c r="B962" s="7"/>
      <c r="C962" s="7"/>
      <c r="D962" s="7"/>
    </row>
    <row r="963" customFormat="false" ht="15" hidden="false" customHeight="false" outlineLevel="0" collapsed="false">
      <c r="B963" s="7"/>
      <c r="C963" s="7"/>
      <c r="D963" s="7"/>
    </row>
    <row r="964" customFormat="false" ht="15" hidden="false" customHeight="false" outlineLevel="0" collapsed="false">
      <c r="B964" s="7"/>
      <c r="C964" s="7"/>
      <c r="D964" s="7"/>
    </row>
    <row r="965" customFormat="false" ht="15" hidden="false" customHeight="false" outlineLevel="0" collapsed="false">
      <c r="B965" s="7"/>
      <c r="C965" s="7"/>
      <c r="D965" s="7"/>
    </row>
    <row r="966" customFormat="false" ht="15" hidden="false" customHeight="false" outlineLevel="0" collapsed="false">
      <c r="B966" s="7"/>
      <c r="C966" s="7"/>
      <c r="D966" s="7"/>
    </row>
    <row r="967" customFormat="false" ht="15" hidden="false" customHeight="false" outlineLevel="0" collapsed="false">
      <c r="B967" s="7"/>
      <c r="C967" s="7"/>
      <c r="D967" s="7"/>
    </row>
    <row r="968" customFormat="false" ht="15" hidden="false" customHeight="false" outlineLevel="0" collapsed="false">
      <c r="B968" s="7"/>
      <c r="C968" s="7"/>
      <c r="D968" s="7"/>
    </row>
    <row r="969" customFormat="false" ht="15" hidden="false" customHeight="false" outlineLevel="0" collapsed="false">
      <c r="B969" s="7"/>
      <c r="C969" s="7"/>
      <c r="D969" s="7"/>
    </row>
    <row r="970" customFormat="false" ht="15" hidden="false" customHeight="false" outlineLevel="0" collapsed="false">
      <c r="B970" s="7"/>
      <c r="C970" s="7"/>
      <c r="D970" s="7"/>
    </row>
    <row r="971" customFormat="false" ht="15" hidden="false" customHeight="false" outlineLevel="0" collapsed="false">
      <c r="B971" s="7"/>
      <c r="C971" s="7"/>
      <c r="D971" s="7"/>
    </row>
    <row r="972" customFormat="false" ht="15" hidden="false" customHeight="false" outlineLevel="0" collapsed="false">
      <c r="B972" s="7"/>
      <c r="C972" s="7"/>
      <c r="D972" s="7"/>
    </row>
    <row r="973" customFormat="false" ht="15" hidden="false" customHeight="false" outlineLevel="0" collapsed="false">
      <c r="B973" s="7"/>
      <c r="C973" s="7"/>
      <c r="D973" s="7"/>
    </row>
    <row r="974" customFormat="false" ht="15" hidden="false" customHeight="false" outlineLevel="0" collapsed="false">
      <c r="B974" s="7"/>
      <c r="C974" s="7"/>
      <c r="D974" s="7"/>
    </row>
    <row r="975" customFormat="false" ht="15" hidden="false" customHeight="false" outlineLevel="0" collapsed="false">
      <c r="B975" s="7"/>
      <c r="C975" s="7"/>
      <c r="D975" s="7"/>
    </row>
    <row r="976" customFormat="false" ht="15" hidden="false" customHeight="false" outlineLevel="0" collapsed="false">
      <c r="B976" s="7"/>
      <c r="C976" s="7"/>
      <c r="D976" s="7"/>
    </row>
    <row r="977" customFormat="false" ht="15" hidden="false" customHeight="false" outlineLevel="0" collapsed="false">
      <c r="B977" s="7"/>
      <c r="C977" s="7"/>
      <c r="D977" s="7"/>
    </row>
    <row r="978" customFormat="false" ht="15" hidden="false" customHeight="false" outlineLevel="0" collapsed="false">
      <c r="B978" s="7"/>
      <c r="C978" s="7"/>
      <c r="D978" s="7"/>
    </row>
    <row r="979" customFormat="false" ht="15" hidden="false" customHeight="false" outlineLevel="0" collapsed="false">
      <c r="B979" s="7"/>
      <c r="C979" s="7"/>
      <c r="D979" s="7"/>
    </row>
    <row r="980" customFormat="false" ht="15" hidden="false" customHeight="false" outlineLevel="0" collapsed="false">
      <c r="B980" s="7"/>
      <c r="C980" s="7"/>
      <c r="D980" s="7"/>
    </row>
    <row r="981" customFormat="false" ht="15" hidden="false" customHeight="false" outlineLevel="0" collapsed="false">
      <c r="B981" s="7"/>
      <c r="C981" s="7"/>
      <c r="D981" s="7"/>
    </row>
    <row r="982" customFormat="false" ht="15" hidden="false" customHeight="false" outlineLevel="0" collapsed="false">
      <c r="B982" s="7"/>
      <c r="C982" s="7"/>
      <c r="D982" s="7"/>
    </row>
    <row r="983" customFormat="false" ht="15" hidden="false" customHeight="false" outlineLevel="0" collapsed="false">
      <c r="B983" s="7"/>
      <c r="C983" s="7"/>
      <c r="D983" s="7"/>
    </row>
    <row r="984" customFormat="false" ht="15" hidden="false" customHeight="false" outlineLevel="0" collapsed="false">
      <c r="B984" s="7"/>
      <c r="C984" s="7"/>
      <c r="D984" s="7"/>
    </row>
    <row r="985" customFormat="false" ht="15" hidden="false" customHeight="false" outlineLevel="0" collapsed="false">
      <c r="B985" s="7"/>
      <c r="C985" s="7"/>
      <c r="D985" s="7"/>
    </row>
    <row r="986" customFormat="false" ht="15" hidden="false" customHeight="false" outlineLevel="0" collapsed="false">
      <c r="B986" s="7"/>
      <c r="C986" s="7"/>
      <c r="D986" s="7"/>
    </row>
    <row r="987" customFormat="false" ht="15" hidden="false" customHeight="false" outlineLevel="0" collapsed="false">
      <c r="B987" s="7"/>
      <c r="C987" s="7"/>
      <c r="D987" s="7"/>
    </row>
    <row r="988" customFormat="false" ht="15" hidden="false" customHeight="false" outlineLevel="0" collapsed="false">
      <c r="B988" s="7"/>
      <c r="C988" s="7"/>
      <c r="D988" s="7"/>
    </row>
    <row r="989" customFormat="false" ht="15" hidden="false" customHeight="false" outlineLevel="0" collapsed="false">
      <c r="B989" s="7"/>
      <c r="C989" s="7"/>
      <c r="D989" s="7"/>
    </row>
    <row r="990" customFormat="false" ht="15" hidden="false" customHeight="false" outlineLevel="0" collapsed="false">
      <c r="B990" s="7"/>
      <c r="C990" s="7"/>
      <c r="D990" s="7"/>
    </row>
    <row r="991" customFormat="false" ht="15" hidden="false" customHeight="false" outlineLevel="0" collapsed="false">
      <c r="B991" s="7"/>
      <c r="C991" s="7"/>
      <c r="D991" s="7"/>
    </row>
    <row r="992" customFormat="false" ht="15" hidden="false" customHeight="false" outlineLevel="0" collapsed="false">
      <c r="B992" s="7"/>
      <c r="C992" s="7"/>
      <c r="D992" s="7"/>
    </row>
    <row r="993" customFormat="false" ht="15" hidden="false" customHeight="false" outlineLevel="0" collapsed="false">
      <c r="B993" s="7"/>
      <c r="C993" s="7"/>
      <c r="D993" s="7"/>
    </row>
    <row r="994" customFormat="false" ht="15" hidden="false" customHeight="false" outlineLevel="0" collapsed="false">
      <c r="B994" s="7"/>
      <c r="C994" s="7"/>
      <c r="D994" s="7"/>
    </row>
    <row r="995" customFormat="false" ht="15" hidden="false" customHeight="false" outlineLevel="0" collapsed="false">
      <c r="B995" s="7"/>
      <c r="C995" s="7"/>
      <c r="D995" s="7"/>
    </row>
    <row r="996" customFormat="false" ht="15" hidden="false" customHeight="false" outlineLevel="0" collapsed="false">
      <c r="B996" s="7"/>
      <c r="C996" s="7"/>
      <c r="D996" s="7"/>
    </row>
    <row r="997" customFormat="false" ht="15" hidden="false" customHeight="false" outlineLevel="0" collapsed="false">
      <c r="B997" s="7"/>
      <c r="C997" s="7"/>
      <c r="D997" s="7"/>
    </row>
    <row r="998" customFormat="false" ht="15" hidden="false" customHeight="false" outlineLevel="0" collapsed="false">
      <c r="B998" s="7"/>
      <c r="C998" s="7"/>
      <c r="D998" s="7"/>
    </row>
    <row r="999" customFormat="false" ht="15" hidden="false" customHeight="false" outlineLevel="0" collapsed="false">
      <c r="B999" s="7"/>
      <c r="C999" s="7"/>
      <c r="D999" s="7"/>
    </row>
    <row r="1000" customFormat="false" ht="15" hidden="false" customHeight="false" outlineLevel="0" collapsed="false">
      <c r="B1000" s="7"/>
      <c r="C1000" s="7"/>
      <c r="D1000" s="7"/>
    </row>
  </sheetData>
  <autoFilter ref="A2:H401"/>
  <dataValidations count="3">
    <dataValidation allowBlank="true" error="Выберите значение из списка на листе «Справочники»." errorStyle="stop" errorTitle="Нет в справочнике" operator="between" showDropDown="false" showErrorMessage="true" showInputMessage="false" sqref="B3:B1000" type="list">
      <formula1>Справочники!$A$4:$A$18</formula1>
      <formula2>0</formula2>
    </dataValidation>
    <dataValidation allowBlank="true" error="Выберите значение из списка на листе «Справочники»." errorStyle="stop" errorTitle="Нет в справочнике" operator="between" showDropDown="false" showErrorMessage="true" showInputMessage="false" sqref="C3:C1000" type="list">
      <formula1>Справочники!$E$4:$E$7</formula1>
      <formula2>0</formula2>
    </dataValidation>
    <dataValidation allowBlank="true" error="Выберите значение из списка на листе «Справочники»." errorStyle="stop" errorTitle="Нет в справочнике" operator="between" showDropDown="false" showErrorMessage="true" showInputMessage="false" sqref="D3:D1000" type="list">
      <formula1>Справочники!$G$4:$G$6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 t="s">
        <v>186</v>
      </c>
    </row>
    <row r="3" customFormat="false" ht="28.35" hidden="false" customHeight="false" outlineLevel="0" collapsed="false">
      <c r="A3" s="9" t="s">
        <v>187</v>
      </c>
      <c r="B3" s="14" t="n">
        <f aca="false">DATE(2025,1,1)</f>
        <v>45658</v>
      </c>
      <c r="C3" s="14" t="n">
        <f aca="false">DATE(2025,2,1)</f>
        <v>45689</v>
      </c>
      <c r="D3" s="14" t="n">
        <f aca="false">DATE(2025,3,1)</f>
        <v>45717</v>
      </c>
      <c r="E3" s="14" t="n">
        <f aca="false">DATE(2025,4,1)</f>
        <v>45748</v>
      </c>
      <c r="F3" s="14" t="n">
        <f aca="false">DATE(2025,5,1)</f>
        <v>45778</v>
      </c>
      <c r="G3" s="14" t="n">
        <f aca="false">DATE(2025,6,1)</f>
        <v>45809</v>
      </c>
      <c r="H3" s="14" t="n">
        <f aca="false">DATE(2025,7,1)</f>
        <v>45839</v>
      </c>
      <c r="I3" s="14" t="n">
        <f aca="false">DATE(2025,8,1)</f>
        <v>45870</v>
      </c>
      <c r="J3" s="14" t="n">
        <f aca="false">DATE(2025,9,1)</f>
        <v>45901</v>
      </c>
      <c r="K3" s="14" t="n">
        <f aca="false">DATE(2025,10,1)</f>
        <v>45931</v>
      </c>
      <c r="L3" s="14" t="n">
        <f aca="false">DATE(2025,11,1)</f>
        <v>45962</v>
      </c>
      <c r="M3" s="14" t="n">
        <f aca="false">DATE(2025,12,1)</f>
        <v>45992</v>
      </c>
      <c r="N3" s="9" t="s">
        <v>188</v>
      </c>
    </row>
    <row r="4" customFormat="false" ht="15" hidden="false" customHeight="false" outlineLevel="0" collapsed="false">
      <c r="A4" s="15" t="s">
        <v>189</v>
      </c>
    </row>
    <row r="5" customFormat="false" ht="15" hidden="false" customHeight="false" outlineLevel="0" collapsed="false">
      <c r="A5" s="16" t="s">
        <v>18</v>
      </c>
      <c r="B5" s="8" t="n">
        <f aca="false">SUMIFS(Операции!$E$3:$E$1000,Операции!$B$3:$B$1000,$A5,Операции!$H$3:$H$1000,B$3)</f>
        <v>773800</v>
      </c>
      <c r="C5" s="8" t="n">
        <f aca="false">SUMIFS(Операции!$E$3:$E$1000,Операции!$B$3:$B$1000,$A5,Операции!$H$3:$H$1000,C$3)</f>
        <v>646500</v>
      </c>
      <c r="D5" s="8" t="n">
        <f aca="false">SUMIFS(Операции!$E$3:$E$1000,Операции!$B$3:$B$1000,$A5,Операции!$H$3:$H$1000,D$3)</f>
        <v>987200</v>
      </c>
      <c r="E5" s="8" t="n">
        <f aca="false">SUMIFS(Операции!$E$3:$E$1000,Операции!$B$3:$B$1000,$A5,Операции!$H$3:$H$1000,E$3)</f>
        <v>1155100</v>
      </c>
      <c r="F5" s="8" t="n">
        <f aca="false">SUMIFS(Операции!$E$3:$E$1000,Операции!$B$3:$B$1000,$A5,Операции!$H$3:$H$1000,F$3)</f>
        <v>713300</v>
      </c>
      <c r="G5" s="8" t="n">
        <f aca="false">SUMIFS(Операции!$E$3:$E$1000,Операции!$B$3:$B$1000,$A5,Операции!$H$3:$H$1000,G$3)</f>
        <v>914800</v>
      </c>
      <c r="H5" s="8" t="n">
        <f aca="false">SUMIFS(Операции!$E$3:$E$1000,Операции!$B$3:$B$1000,$A5,Операции!$H$3:$H$1000,H$3)</f>
        <v>1049100</v>
      </c>
      <c r="I5" s="8" t="n">
        <f aca="false">SUMIFS(Операции!$E$3:$E$1000,Операции!$B$3:$B$1000,$A5,Операции!$H$3:$H$1000,I$3)</f>
        <v>1088400</v>
      </c>
      <c r="J5" s="8" t="n">
        <f aca="false">SUMIFS(Операции!$E$3:$E$1000,Операции!$B$3:$B$1000,$A5,Операции!$H$3:$H$1000,J$3)</f>
        <v>1168400</v>
      </c>
      <c r="K5" s="8" t="n">
        <f aca="false">SUMIFS(Операции!$E$3:$E$1000,Операции!$B$3:$B$1000,$A5,Операции!$H$3:$H$1000,K$3)</f>
        <v>1330400</v>
      </c>
      <c r="L5" s="8" t="n">
        <f aca="false">SUMIFS(Операции!$E$3:$E$1000,Операции!$B$3:$B$1000,$A5,Операции!$H$3:$H$1000,L$3)</f>
        <v>1337700</v>
      </c>
      <c r="M5" s="8" t="n">
        <f aca="false">SUMIFS(Операции!$E$3:$E$1000,Операции!$B$3:$B$1000,$A5,Операции!$H$3:$H$1000,M$3)</f>
        <v>743900</v>
      </c>
      <c r="N5" s="10" t="n">
        <f aca="false">SUM(B5:M5)</f>
        <v>11908600</v>
      </c>
    </row>
    <row r="6" customFormat="false" ht="15" hidden="false" customHeight="false" outlineLevel="0" collapsed="false">
      <c r="A6" s="16" t="s">
        <v>23</v>
      </c>
      <c r="B6" s="8" t="n">
        <f aca="false">SUMIFS(Операции!$E$3:$E$1000,Операции!$B$3:$B$1000,$A6,Операции!$H$3:$H$1000,B$3)</f>
        <v>293000</v>
      </c>
      <c r="C6" s="8" t="n">
        <f aca="false">SUMIFS(Операции!$E$3:$E$1000,Операции!$B$3:$B$1000,$A6,Операции!$H$3:$H$1000,C$3)</f>
        <v>457200</v>
      </c>
      <c r="D6" s="8" t="n">
        <f aca="false">SUMIFS(Операции!$E$3:$E$1000,Операции!$B$3:$B$1000,$A6,Операции!$H$3:$H$1000,D$3)</f>
        <v>665100</v>
      </c>
      <c r="E6" s="8" t="n">
        <f aca="false">SUMIFS(Операции!$E$3:$E$1000,Операции!$B$3:$B$1000,$A6,Операции!$H$3:$H$1000,E$3)</f>
        <v>600500</v>
      </c>
      <c r="F6" s="8" t="n">
        <f aca="false">SUMIFS(Операции!$E$3:$E$1000,Операции!$B$3:$B$1000,$A6,Операции!$H$3:$H$1000,F$3)</f>
        <v>400800</v>
      </c>
      <c r="G6" s="8" t="n">
        <f aca="false">SUMIFS(Операции!$E$3:$E$1000,Операции!$B$3:$B$1000,$A6,Операции!$H$3:$H$1000,G$3)</f>
        <v>593500</v>
      </c>
      <c r="H6" s="8" t="n">
        <f aca="false">SUMIFS(Операции!$E$3:$E$1000,Операции!$B$3:$B$1000,$A6,Операции!$H$3:$H$1000,H$3)</f>
        <v>415700</v>
      </c>
      <c r="I6" s="8" t="n">
        <f aca="false">SUMIFS(Операции!$E$3:$E$1000,Операции!$B$3:$B$1000,$A6,Операции!$H$3:$H$1000,I$3)</f>
        <v>474000</v>
      </c>
      <c r="J6" s="8" t="n">
        <f aca="false">SUMIFS(Операции!$E$3:$E$1000,Операции!$B$3:$B$1000,$A6,Операции!$H$3:$H$1000,J$3)</f>
        <v>525900</v>
      </c>
      <c r="K6" s="8" t="n">
        <f aca="false">SUMIFS(Операции!$E$3:$E$1000,Операции!$B$3:$B$1000,$A6,Операции!$H$3:$H$1000,K$3)</f>
        <v>818200</v>
      </c>
      <c r="L6" s="8" t="n">
        <f aca="false">SUMIFS(Операции!$E$3:$E$1000,Операции!$B$3:$B$1000,$A6,Операции!$H$3:$H$1000,L$3)</f>
        <v>846900</v>
      </c>
      <c r="M6" s="8" t="n">
        <f aca="false">SUMIFS(Операции!$E$3:$E$1000,Операции!$B$3:$B$1000,$A6,Операции!$H$3:$H$1000,M$3)</f>
        <v>520800</v>
      </c>
      <c r="N6" s="10" t="n">
        <f aca="false">SUM(B6:M6)</f>
        <v>6611600</v>
      </c>
    </row>
    <row r="7" customFormat="false" ht="15" hidden="false" customHeight="false" outlineLevel="0" collapsed="false">
      <c r="A7" s="16" t="s">
        <v>26</v>
      </c>
      <c r="B7" s="8" t="n">
        <f aca="false">SUMIFS(Операции!$E$3:$E$1000,Операции!$B$3:$B$1000,$A7,Операции!$H$3:$H$1000,B$3)</f>
        <v>23100</v>
      </c>
      <c r="C7" s="8" t="n">
        <f aca="false">SUMIFS(Операции!$E$3:$E$1000,Операции!$B$3:$B$1000,$A7,Операции!$H$3:$H$1000,C$3)</f>
        <v>93900</v>
      </c>
      <c r="D7" s="8" t="n">
        <f aca="false">SUMIFS(Операции!$E$3:$E$1000,Операции!$B$3:$B$1000,$A7,Операции!$H$3:$H$1000,D$3)</f>
        <v>69400</v>
      </c>
      <c r="E7" s="8" t="n">
        <f aca="false">SUMIFS(Операции!$E$3:$E$1000,Операции!$B$3:$B$1000,$A7,Операции!$H$3:$H$1000,E$3)</f>
        <v>62900</v>
      </c>
      <c r="F7" s="8" t="n">
        <f aca="false">SUMIFS(Операции!$E$3:$E$1000,Операции!$B$3:$B$1000,$A7,Операции!$H$3:$H$1000,F$3)</f>
        <v>88200</v>
      </c>
      <c r="G7" s="8" t="n">
        <f aca="false">SUMIFS(Операции!$E$3:$E$1000,Операции!$B$3:$B$1000,$A7,Операции!$H$3:$H$1000,G$3)</f>
        <v>62100</v>
      </c>
      <c r="H7" s="8" t="n">
        <f aca="false">SUMIFS(Операции!$E$3:$E$1000,Операции!$B$3:$B$1000,$A7,Операции!$H$3:$H$1000,H$3)</f>
        <v>103200</v>
      </c>
      <c r="I7" s="8" t="n">
        <f aca="false">SUMIFS(Операции!$E$3:$E$1000,Операции!$B$3:$B$1000,$A7,Операции!$H$3:$H$1000,I$3)</f>
        <v>143600</v>
      </c>
      <c r="J7" s="8" t="n">
        <f aca="false">SUMIFS(Операции!$E$3:$E$1000,Операции!$B$3:$B$1000,$A7,Операции!$H$3:$H$1000,J$3)</f>
        <v>69800</v>
      </c>
      <c r="K7" s="8" t="n">
        <f aca="false">SUMIFS(Операции!$E$3:$E$1000,Операции!$B$3:$B$1000,$A7,Операции!$H$3:$H$1000,K$3)</f>
        <v>121800</v>
      </c>
      <c r="L7" s="8" t="n">
        <f aca="false">SUMIFS(Операции!$E$3:$E$1000,Операции!$B$3:$B$1000,$A7,Операции!$H$3:$H$1000,L$3)</f>
        <v>175900</v>
      </c>
      <c r="M7" s="8" t="n">
        <f aca="false">SUMIFS(Операции!$E$3:$E$1000,Операции!$B$3:$B$1000,$A7,Операции!$H$3:$H$1000,M$3)</f>
        <v>52700</v>
      </c>
      <c r="N7" s="10" t="n">
        <f aca="false">SUM(B7:M7)</f>
        <v>1066600</v>
      </c>
    </row>
    <row r="8" customFormat="false" ht="15" hidden="false" customHeight="false" outlineLevel="0" collapsed="false">
      <c r="A8" s="16" t="s">
        <v>28</v>
      </c>
      <c r="B8" s="8" t="n">
        <f aca="false">SUMIFS(Операции!$E$3:$E$1000,Операции!$B$3:$B$1000,$A8,Операции!$H$3:$H$1000,B$3)</f>
        <v>56300</v>
      </c>
      <c r="C8" s="8" t="n">
        <f aca="false">SUMIFS(Операции!$E$3:$E$1000,Операции!$B$3:$B$1000,$A8,Операции!$H$3:$H$1000,C$3)</f>
        <v>50800</v>
      </c>
      <c r="D8" s="8" t="n">
        <f aca="false">SUMIFS(Операции!$E$3:$E$1000,Операции!$B$3:$B$1000,$A8,Операции!$H$3:$H$1000,D$3)</f>
        <v>77700</v>
      </c>
      <c r="E8" s="8" t="n">
        <f aca="false">SUMIFS(Операции!$E$3:$E$1000,Операции!$B$3:$B$1000,$A8,Операции!$H$3:$H$1000,E$3)</f>
        <v>50400</v>
      </c>
      <c r="F8" s="8" t="n">
        <f aca="false">SUMIFS(Операции!$E$3:$E$1000,Операции!$B$3:$B$1000,$A8,Операции!$H$3:$H$1000,F$3)</f>
        <v>45600</v>
      </c>
      <c r="G8" s="8" t="n">
        <f aca="false">SUMIFS(Операции!$E$3:$E$1000,Операции!$B$3:$B$1000,$A8,Операции!$H$3:$H$1000,G$3)</f>
        <v>53000</v>
      </c>
      <c r="H8" s="8" t="n">
        <f aca="false">SUMIFS(Операции!$E$3:$E$1000,Операции!$B$3:$B$1000,$A8,Операции!$H$3:$H$1000,H$3)</f>
        <v>55200</v>
      </c>
      <c r="I8" s="8" t="n">
        <f aca="false">SUMIFS(Операции!$E$3:$E$1000,Операции!$B$3:$B$1000,$A8,Операции!$H$3:$H$1000,I$3)</f>
        <v>66000</v>
      </c>
      <c r="J8" s="8" t="n">
        <f aca="false">SUMIFS(Операции!$E$3:$E$1000,Операции!$B$3:$B$1000,$A8,Операции!$H$3:$H$1000,J$3)</f>
        <v>55100</v>
      </c>
      <c r="K8" s="8" t="n">
        <f aca="false">SUMIFS(Операции!$E$3:$E$1000,Операции!$B$3:$B$1000,$A8,Операции!$H$3:$H$1000,K$3)</f>
        <v>99800</v>
      </c>
      <c r="L8" s="8" t="n">
        <f aca="false">SUMIFS(Операции!$E$3:$E$1000,Операции!$B$3:$B$1000,$A8,Операции!$H$3:$H$1000,L$3)</f>
        <v>50900</v>
      </c>
      <c r="M8" s="8" t="n">
        <f aca="false">SUMIFS(Операции!$E$3:$E$1000,Операции!$B$3:$B$1000,$A8,Операции!$H$3:$H$1000,M$3)</f>
        <v>83800</v>
      </c>
      <c r="N8" s="10" t="n">
        <f aca="false">SUM(B8:M8)</f>
        <v>744600</v>
      </c>
    </row>
    <row r="9" customFormat="false" ht="15" hidden="false" customHeight="false" outlineLevel="0" collapsed="false">
      <c r="A9" s="17" t="s">
        <v>190</v>
      </c>
      <c r="B9" s="18" t="n">
        <f aca="false">SUM(B5:B8)</f>
        <v>1146200</v>
      </c>
      <c r="C9" s="18" t="n">
        <f aca="false">SUM(C5:C8)</f>
        <v>1248400</v>
      </c>
      <c r="D9" s="18" t="n">
        <f aca="false">SUM(D5:D8)</f>
        <v>1799400</v>
      </c>
      <c r="E9" s="18" t="n">
        <f aca="false">SUM(E5:E8)</f>
        <v>1868900</v>
      </c>
      <c r="F9" s="18" t="n">
        <f aca="false">SUM(F5:F8)</f>
        <v>1247900</v>
      </c>
      <c r="G9" s="18" t="n">
        <f aca="false">SUM(G5:G8)</f>
        <v>1623400</v>
      </c>
      <c r="H9" s="18" t="n">
        <f aca="false">SUM(H5:H8)</f>
        <v>1623200</v>
      </c>
      <c r="I9" s="18" t="n">
        <f aca="false">SUM(I5:I8)</f>
        <v>1772000</v>
      </c>
      <c r="J9" s="18" t="n">
        <f aca="false">SUM(J5:J8)</f>
        <v>1819200</v>
      </c>
      <c r="K9" s="18" t="n">
        <f aca="false">SUM(K5:K8)</f>
        <v>2370200</v>
      </c>
      <c r="L9" s="18" t="n">
        <f aca="false">SUM(L5:L8)</f>
        <v>2411400</v>
      </c>
      <c r="M9" s="18" t="n">
        <f aca="false">SUM(M5:M8)</f>
        <v>1401200</v>
      </c>
      <c r="N9" s="18" t="n">
        <f aca="false">SUM(B9:M9)</f>
        <v>20331400</v>
      </c>
    </row>
    <row r="10" customFormat="false" ht="15" hidden="false" customHeight="false" outlineLevel="0" collapsed="false">
      <c r="A10" s="15" t="s">
        <v>191</v>
      </c>
    </row>
    <row r="11" customFormat="false" ht="15" hidden="false" customHeight="false" outlineLevel="0" collapsed="false">
      <c r="A11" s="16" t="s">
        <v>31</v>
      </c>
      <c r="B11" s="8" t="n">
        <f aca="false">SUMIFS(Операции!$E$3:$E$1000,Операции!$B$3:$B$1000,$A11,Операции!$H$3:$H$1000,B$3)</f>
        <v>322400</v>
      </c>
      <c r="C11" s="8" t="n">
        <f aca="false">SUMIFS(Операции!$E$3:$E$1000,Операции!$B$3:$B$1000,$A11,Операции!$H$3:$H$1000,C$3)</f>
        <v>373700</v>
      </c>
      <c r="D11" s="8" t="n">
        <f aca="false">SUMIFS(Операции!$E$3:$E$1000,Операции!$B$3:$B$1000,$A11,Операции!$H$3:$H$1000,D$3)</f>
        <v>505200</v>
      </c>
      <c r="E11" s="8" t="n">
        <f aca="false">SUMIFS(Операции!$E$3:$E$1000,Операции!$B$3:$B$1000,$A11,Операции!$H$3:$H$1000,E$3)</f>
        <v>575900</v>
      </c>
      <c r="F11" s="8" t="n">
        <f aca="false">SUMIFS(Операции!$E$3:$E$1000,Операции!$B$3:$B$1000,$A11,Операции!$H$3:$H$1000,F$3)</f>
        <v>366900</v>
      </c>
      <c r="G11" s="8" t="n">
        <f aca="false">SUMIFS(Операции!$E$3:$E$1000,Операции!$B$3:$B$1000,$A11,Операции!$H$3:$H$1000,G$3)</f>
        <v>473300</v>
      </c>
      <c r="H11" s="8" t="n">
        <f aca="false">SUMIFS(Операции!$E$3:$E$1000,Операции!$B$3:$B$1000,$A11,Операции!$H$3:$H$1000,H$3)</f>
        <v>488800</v>
      </c>
      <c r="I11" s="8" t="n">
        <f aca="false">SUMIFS(Операции!$E$3:$E$1000,Операции!$B$3:$B$1000,$A11,Операции!$H$3:$H$1000,I$3)</f>
        <v>555100</v>
      </c>
      <c r="J11" s="8" t="n">
        <f aca="false">SUMIFS(Операции!$E$3:$E$1000,Операции!$B$3:$B$1000,$A11,Операции!$H$3:$H$1000,J$3)</f>
        <v>584700</v>
      </c>
      <c r="K11" s="8" t="n">
        <f aca="false">SUMIFS(Операции!$E$3:$E$1000,Операции!$B$3:$B$1000,$A11,Операции!$H$3:$H$1000,K$3)</f>
        <v>733600</v>
      </c>
      <c r="L11" s="8" t="n">
        <f aca="false">SUMIFS(Операции!$E$3:$E$1000,Операции!$B$3:$B$1000,$A11,Операции!$H$3:$H$1000,L$3)</f>
        <v>665100</v>
      </c>
      <c r="M11" s="8" t="n">
        <f aca="false">SUMIFS(Операции!$E$3:$E$1000,Операции!$B$3:$B$1000,$A11,Операции!$H$3:$H$1000,M$3)</f>
        <v>414900</v>
      </c>
      <c r="N11" s="10" t="n">
        <f aca="false">SUM(B11:M11)</f>
        <v>6059600</v>
      </c>
    </row>
    <row r="12" customFormat="false" ht="15" hidden="false" customHeight="false" outlineLevel="0" collapsed="false">
      <c r="A12" s="16" t="s">
        <v>33</v>
      </c>
      <c r="B12" s="8" t="n">
        <f aca="false">SUMIFS(Операции!$E$3:$E$1000,Операции!$B$3:$B$1000,$A12,Операции!$H$3:$H$1000,B$3)</f>
        <v>93600</v>
      </c>
      <c r="C12" s="8" t="n">
        <f aca="false">SUMIFS(Операции!$E$3:$E$1000,Операции!$B$3:$B$1000,$A12,Операции!$H$3:$H$1000,C$3)</f>
        <v>103500</v>
      </c>
      <c r="D12" s="8" t="n">
        <f aca="false">SUMIFS(Операции!$E$3:$E$1000,Операции!$B$3:$B$1000,$A12,Операции!$H$3:$H$1000,D$3)</f>
        <v>138900</v>
      </c>
      <c r="E12" s="8" t="n">
        <f aca="false">SUMIFS(Операции!$E$3:$E$1000,Операции!$B$3:$B$1000,$A12,Операции!$H$3:$H$1000,E$3)</f>
        <v>148000</v>
      </c>
      <c r="F12" s="8" t="n">
        <f aca="false">SUMIFS(Операции!$E$3:$E$1000,Операции!$B$3:$B$1000,$A12,Операции!$H$3:$H$1000,F$3)</f>
        <v>104300</v>
      </c>
      <c r="G12" s="8" t="n">
        <f aca="false">SUMIFS(Операции!$E$3:$E$1000,Операции!$B$3:$B$1000,$A12,Операции!$H$3:$H$1000,G$3)</f>
        <v>126800</v>
      </c>
      <c r="H12" s="8" t="n">
        <f aca="false">SUMIFS(Операции!$E$3:$E$1000,Операции!$B$3:$B$1000,$A12,Операции!$H$3:$H$1000,H$3)</f>
        <v>120300</v>
      </c>
      <c r="I12" s="8" t="n">
        <f aca="false">SUMIFS(Операции!$E$3:$E$1000,Операции!$B$3:$B$1000,$A12,Операции!$H$3:$H$1000,I$3)</f>
        <v>146800</v>
      </c>
      <c r="J12" s="8" t="n">
        <f aca="false">SUMIFS(Операции!$E$3:$E$1000,Операции!$B$3:$B$1000,$A12,Операции!$H$3:$H$1000,J$3)</f>
        <v>154600</v>
      </c>
      <c r="K12" s="8" t="n">
        <f aca="false">SUMIFS(Операции!$E$3:$E$1000,Операции!$B$3:$B$1000,$A12,Операции!$H$3:$H$1000,K$3)</f>
        <v>176500</v>
      </c>
      <c r="L12" s="8" t="n">
        <f aca="false">SUMIFS(Операции!$E$3:$E$1000,Операции!$B$3:$B$1000,$A12,Операции!$H$3:$H$1000,L$3)</f>
        <v>188200</v>
      </c>
      <c r="M12" s="8" t="n">
        <f aca="false">SUMIFS(Операции!$E$3:$E$1000,Операции!$B$3:$B$1000,$A12,Операции!$H$3:$H$1000,M$3)</f>
        <v>118300</v>
      </c>
      <c r="N12" s="10" t="n">
        <f aca="false">SUM(B12:M12)</f>
        <v>1619800</v>
      </c>
    </row>
    <row r="13" customFormat="false" ht="15" hidden="false" customHeight="false" outlineLevel="0" collapsed="false">
      <c r="A13" s="16" t="s">
        <v>34</v>
      </c>
      <c r="B13" s="8" t="n">
        <f aca="false">SUMIFS(Операции!$E$3:$E$1000,Операции!$B$3:$B$1000,$A13,Операции!$H$3:$H$1000,B$3)</f>
        <v>126100</v>
      </c>
      <c r="C13" s="8" t="n">
        <f aca="false">SUMIFS(Операции!$E$3:$E$1000,Операции!$B$3:$B$1000,$A13,Операции!$H$3:$H$1000,C$3)</f>
        <v>137300</v>
      </c>
      <c r="D13" s="8" t="n">
        <f aca="false">SUMIFS(Операции!$E$3:$E$1000,Операции!$B$3:$B$1000,$A13,Операции!$H$3:$H$1000,D$3)</f>
        <v>197900</v>
      </c>
      <c r="E13" s="8" t="n">
        <f aca="false">SUMIFS(Операции!$E$3:$E$1000,Операции!$B$3:$B$1000,$A13,Операции!$H$3:$H$1000,E$3)</f>
        <v>205600</v>
      </c>
      <c r="F13" s="8" t="n">
        <f aca="false">SUMIFS(Операции!$E$3:$E$1000,Операции!$B$3:$B$1000,$A13,Операции!$H$3:$H$1000,F$3)</f>
        <v>137300</v>
      </c>
      <c r="G13" s="8" t="n">
        <f aca="false">SUMIFS(Операции!$E$3:$E$1000,Операции!$B$3:$B$1000,$A13,Операции!$H$3:$H$1000,G$3)</f>
        <v>178600</v>
      </c>
      <c r="H13" s="8" t="n">
        <f aca="false">SUMIFS(Операции!$E$3:$E$1000,Операции!$B$3:$B$1000,$A13,Операции!$H$3:$H$1000,H$3)</f>
        <v>178600</v>
      </c>
      <c r="I13" s="8" t="n">
        <f aca="false">SUMIFS(Операции!$E$3:$E$1000,Операции!$B$3:$B$1000,$A13,Операции!$H$3:$H$1000,I$3)</f>
        <v>194900</v>
      </c>
      <c r="J13" s="8" t="n">
        <f aca="false">SUMIFS(Операции!$E$3:$E$1000,Операции!$B$3:$B$1000,$A13,Операции!$H$3:$H$1000,J$3)</f>
        <v>200100</v>
      </c>
      <c r="K13" s="8" t="n">
        <f aca="false">SUMIFS(Операции!$E$3:$E$1000,Операции!$B$3:$B$1000,$A13,Операции!$H$3:$H$1000,K$3)</f>
        <v>260700</v>
      </c>
      <c r="L13" s="8" t="n">
        <f aca="false">SUMIFS(Операции!$E$3:$E$1000,Операции!$B$3:$B$1000,$A13,Операции!$H$3:$H$1000,L$3)</f>
        <v>265200</v>
      </c>
      <c r="M13" s="8" t="n">
        <f aca="false">SUMIFS(Операции!$E$3:$E$1000,Операции!$B$3:$B$1000,$A13,Операции!$H$3:$H$1000,M$3)</f>
        <v>154100</v>
      </c>
      <c r="N13" s="10" t="n">
        <f aca="false">SUM(B13:M13)</f>
        <v>2236400</v>
      </c>
    </row>
    <row r="14" customFormat="false" ht="15" hidden="false" customHeight="false" outlineLevel="0" collapsed="false">
      <c r="A14" s="16" t="s">
        <v>35</v>
      </c>
      <c r="B14" s="8" t="n">
        <f aca="false">SUMIFS(Операции!$E$3:$E$1000,Операции!$B$3:$B$1000,$A14,Операции!$H$3:$H$1000,B$3)</f>
        <v>30700</v>
      </c>
      <c r="C14" s="8" t="n">
        <f aca="false">SUMIFS(Операции!$E$3:$E$1000,Операции!$B$3:$B$1000,$A14,Операции!$H$3:$H$1000,C$3)</f>
        <v>34900</v>
      </c>
      <c r="D14" s="8" t="n">
        <f aca="false">SUMIFS(Операции!$E$3:$E$1000,Операции!$B$3:$B$1000,$A14,Операции!$H$3:$H$1000,D$3)</f>
        <v>42500</v>
      </c>
      <c r="E14" s="8" t="n">
        <f aca="false">SUMIFS(Операции!$E$3:$E$1000,Операции!$B$3:$B$1000,$A14,Операции!$H$3:$H$1000,E$3)</f>
        <v>39300</v>
      </c>
      <c r="F14" s="8" t="n">
        <f aca="false">SUMIFS(Операции!$E$3:$E$1000,Операции!$B$3:$B$1000,$A14,Операции!$H$3:$H$1000,F$3)</f>
        <v>26400</v>
      </c>
      <c r="G14" s="8" t="n">
        <f aca="false">SUMIFS(Операции!$E$3:$E$1000,Операции!$B$3:$B$1000,$A14,Операции!$H$3:$H$1000,G$3)</f>
        <v>33300</v>
      </c>
      <c r="H14" s="8" t="n">
        <f aca="false">SUMIFS(Операции!$E$3:$E$1000,Операции!$B$3:$B$1000,$A14,Операции!$H$3:$H$1000,H$3)</f>
        <v>44700</v>
      </c>
      <c r="I14" s="8" t="n">
        <f aca="false">SUMIFS(Операции!$E$3:$E$1000,Операции!$B$3:$B$1000,$A14,Операции!$H$3:$H$1000,I$3)</f>
        <v>53100</v>
      </c>
      <c r="J14" s="8" t="n">
        <f aca="false">SUMIFS(Операции!$E$3:$E$1000,Операции!$B$3:$B$1000,$A14,Операции!$H$3:$H$1000,J$3)</f>
        <v>50400</v>
      </c>
      <c r="K14" s="8" t="n">
        <f aca="false">SUMIFS(Операции!$E$3:$E$1000,Операции!$B$3:$B$1000,$A14,Операции!$H$3:$H$1000,K$3)</f>
        <v>70700</v>
      </c>
      <c r="L14" s="8" t="n">
        <f aca="false">SUMIFS(Операции!$E$3:$E$1000,Операции!$B$3:$B$1000,$A14,Операции!$H$3:$H$1000,L$3)</f>
        <v>61500</v>
      </c>
      <c r="M14" s="8" t="n">
        <f aca="false">SUMIFS(Операции!$E$3:$E$1000,Операции!$B$3:$B$1000,$A14,Операции!$H$3:$H$1000,M$3)</f>
        <v>40800</v>
      </c>
      <c r="N14" s="10" t="n">
        <f aca="false">SUM(B14:M14)</f>
        <v>528300</v>
      </c>
    </row>
    <row r="15" customFormat="false" ht="15" hidden="false" customHeight="false" outlineLevel="0" collapsed="false">
      <c r="A15" s="16" t="s">
        <v>36</v>
      </c>
      <c r="B15" s="8" t="n">
        <f aca="false">SUMIFS(Операции!$E$3:$E$1000,Операции!$B$3:$B$1000,$A15,Операции!$H$3:$H$1000,B$3)</f>
        <v>210000</v>
      </c>
      <c r="C15" s="8" t="n">
        <f aca="false">SUMIFS(Операции!$E$3:$E$1000,Операции!$B$3:$B$1000,$A15,Операции!$H$3:$H$1000,C$3)</f>
        <v>210000</v>
      </c>
      <c r="D15" s="8" t="n">
        <f aca="false">SUMIFS(Операции!$E$3:$E$1000,Операции!$B$3:$B$1000,$A15,Операции!$H$3:$H$1000,D$3)</f>
        <v>210000</v>
      </c>
      <c r="E15" s="8" t="n">
        <f aca="false">SUMIFS(Операции!$E$3:$E$1000,Операции!$B$3:$B$1000,$A15,Операции!$H$3:$H$1000,E$3)</f>
        <v>210000</v>
      </c>
      <c r="F15" s="8" t="n">
        <f aca="false">SUMIFS(Операции!$E$3:$E$1000,Операции!$B$3:$B$1000,$A15,Операции!$H$3:$H$1000,F$3)</f>
        <v>210000</v>
      </c>
      <c r="G15" s="8" t="n">
        <f aca="false">SUMIFS(Операции!$E$3:$E$1000,Операции!$B$3:$B$1000,$A15,Операции!$H$3:$H$1000,G$3)</f>
        <v>210000</v>
      </c>
      <c r="H15" s="8" t="n">
        <f aca="false">SUMIFS(Операции!$E$3:$E$1000,Операции!$B$3:$B$1000,$A15,Операции!$H$3:$H$1000,H$3)</f>
        <v>210000</v>
      </c>
      <c r="I15" s="8" t="n">
        <f aca="false">SUMIFS(Операции!$E$3:$E$1000,Операции!$B$3:$B$1000,$A15,Операции!$H$3:$H$1000,I$3)</f>
        <v>210000</v>
      </c>
      <c r="J15" s="8" t="n">
        <f aca="false">SUMIFS(Операции!$E$3:$E$1000,Операции!$B$3:$B$1000,$A15,Операции!$H$3:$H$1000,J$3)</f>
        <v>210000</v>
      </c>
      <c r="K15" s="8" t="n">
        <f aca="false">SUMIFS(Операции!$E$3:$E$1000,Операции!$B$3:$B$1000,$A15,Операции!$H$3:$H$1000,K$3)</f>
        <v>210000</v>
      </c>
      <c r="L15" s="8" t="n">
        <f aca="false">SUMIFS(Операции!$E$3:$E$1000,Операции!$B$3:$B$1000,$A15,Операции!$H$3:$H$1000,L$3)</f>
        <v>210000</v>
      </c>
      <c r="M15" s="8" t="n">
        <f aca="false">SUMIFS(Операции!$E$3:$E$1000,Операции!$B$3:$B$1000,$A15,Операции!$H$3:$H$1000,M$3)</f>
        <v>210000</v>
      </c>
      <c r="N15" s="10" t="n">
        <f aca="false">SUM(B15:M15)</f>
        <v>2520000</v>
      </c>
    </row>
    <row r="16" customFormat="false" ht="15" hidden="false" customHeight="false" outlineLevel="0" collapsed="false">
      <c r="A16" s="16" t="s">
        <v>37</v>
      </c>
      <c r="B16" s="8" t="n">
        <f aca="false">SUMIFS(Операции!$E$3:$E$1000,Операции!$B$3:$B$1000,$A16,Операции!$H$3:$H$1000,B$3)</f>
        <v>85000</v>
      </c>
      <c r="C16" s="8" t="n">
        <f aca="false">SUMIFS(Операции!$E$3:$E$1000,Операции!$B$3:$B$1000,$A16,Операции!$H$3:$H$1000,C$3)</f>
        <v>85000</v>
      </c>
      <c r="D16" s="8" t="n">
        <f aca="false">SUMIFS(Операции!$E$3:$E$1000,Операции!$B$3:$B$1000,$A16,Операции!$H$3:$H$1000,D$3)</f>
        <v>85000</v>
      </c>
      <c r="E16" s="8" t="n">
        <f aca="false">SUMIFS(Операции!$E$3:$E$1000,Операции!$B$3:$B$1000,$A16,Операции!$H$3:$H$1000,E$3)</f>
        <v>85000</v>
      </c>
      <c r="F16" s="8" t="n">
        <f aca="false">SUMIFS(Операции!$E$3:$E$1000,Операции!$B$3:$B$1000,$A16,Операции!$H$3:$H$1000,F$3)</f>
        <v>85000</v>
      </c>
      <c r="G16" s="8" t="n">
        <f aca="false">SUMIFS(Операции!$E$3:$E$1000,Операции!$B$3:$B$1000,$A16,Операции!$H$3:$H$1000,G$3)</f>
        <v>85000</v>
      </c>
      <c r="H16" s="8" t="n">
        <f aca="false">SUMIFS(Операции!$E$3:$E$1000,Операции!$B$3:$B$1000,$A16,Операции!$H$3:$H$1000,H$3)</f>
        <v>85000</v>
      </c>
      <c r="I16" s="8" t="n">
        <f aca="false">SUMIFS(Операции!$E$3:$E$1000,Операции!$B$3:$B$1000,$A16,Операции!$H$3:$H$1000,I$3)</f>
        <v>85000</v>
      </c>
      <c r="J16" s="8" t="n">
        <f aca="false">SUMIFS(Операции!$E$3:$E$1000,Операции!$B$3:$B$1000,$A16,Операции!$H$3:$H$1000,J$3)</f>
        <v>85000</v>
      </c>
      <c r="K16" s="8" t="n">
        <f aca="false">SUMIFS(Операции!$E$3:$E$1000,Операции!$B$3:$B$1000,$A16,Операции!$H$3:$H$1000,K$3)</f>
        <v>85000</v>
      </c>
      <c r="L16" s="8" t="n">
        <f aca="false">SUMIFS(Операции!$E$3:$E$1000,Операции!$B$3:$B$1000,$A16,Операции!$H$3:$H$1000,L$3)</f>
        <v>85000</v>
      </c>
      <c r="M16" s="8" t="n">
        <f aca="false">SUMIFS(Операции!$E$3:$E$1000,Операции!$B$3:$B$1000,$A16,Операции!$H$3:$H$1000,M$3)</f>
        <v>85000</v>
      </c>
      <c r="N16" s="10" t="n">
        <f aca="false">SUM(B16:M16)</f>
        <v>1020000</v>
      </c>
    </row>
    <row r="17" customFormat="false" ht="15" hidden="false" customHeight="false" outlineLevel="0" collapsed="false">
      <c r="A17" s="16" t="s">
        <v>38</v>
      </c>
      <c r="B17" s="8" t="n">
        <f aca="false">SUMIFS(Операции!$E$3:$E$1000,Операции!$B$3:$B$1000,$A17,Операции!$H$3:$H$1000,B$3)</f>
        <v>18900</v>
      </c>
      <c r="C17" s="8" t="n">
        <f aca="false">SUMIFS(Операции!$E$3:$E$1000,Операции!$B$3:$B$1000,$A17,Операции!$H$3:$H$1000,C$3)</f>
        <v>32200</v>
      </c>
      <c r="D17" s="8" t="n">
        <f aca="false">SUMIFS(Операции!$E$3:$E$1000,Операции!$B$3:$B$1000,$A17,Операции!$H$3:$H$1000,D$3)</f>
        <v>18900</v>
      </c>
      <c r="E17" s="8" t="n">
        <f aca="false">SUMIFS(Операции!$E$3:$E$1000,Операции!$B$3:$B$1000,$A17,Операции!$H$3:$H$1000,E$3)</f>
        <v>24100</v>
      </c>
      <c r="F17" s="8" t="n">
        <f aca="false">SUMIFS(Операции!$E$3:$E$1000,Операции!$B$3:$B$1000,$A17,Операции!$H$3:$H$1000,F$3)</f>
        <v>21000</v>
      </c>
      <c r="G17" s="8" t="n">
        <f aca="false">SUMIFS(Операции!$E$3:$E$1000,Операции!$B$3:$B$1000,$A17,Операции!$H$3:$H$1000,G$3)</f>
        <v>14600</v>
      </c>
      <c r="H17" s="8" t="n">
        <f aca="false">SUMIFS(Операции!$E$3:$E$1000,Операции!$B$3:$B$1000,$A17,Операции!$H$3:$H$1000,H$3)</f>
        <v>17400</v>
      </c>
      <c r="I17" s="8" t="n">
        <f aca="false">SUMIFS(Операции!$E$3:$E$1000,Операции!$B$3:$B$1000,$A17,Операции!$H$3:$H$1000,I$3)</f>
        <v>20700</v>
      </c>
      <c r="J17" s="8" t="n">
        <f aca="false">SUMIFS(Операции!$E$3:$E$1000,Операции!$B$3:$B$1000,$A17,Операции!$H$3:$H$1000,J$3)</f>
        <v>19700</v>
      </c>
      <c r="K17" s="8" t="n">
        <f aca="false">SUMIFS(Операции!$E$3:$E$1000,Операции!$B$3:$B$1000,$A17,Операции!$H$3:$H$1000,K$3)</f>
        <v>22100</v>
      </c>
      <c r="L17" s="8" t="n">
        <f aca="false">SUMIFS(Операции!$E$3:$E$1000,Операции!$B$3:$B$1000,$A17,Операции!$H$3:$H$1000,L$3)</f>
        <v>18500</v>
      </c>
      <c r="M17" s="8" t="n">
        <f aca="false">SUMIFS(Операции!$E$3:$E$1000,Операции!$B$3:$B$1000,$A17,Операции!$H$3:$H$1000,M$3)</f>
        <v>30600</v>
      </c>
      <c r="N17" s="10" t="n">
        <f aca="false">SUM(B17:M17)</f>
        <v>258700</v>
      </c>
    </row>
    <row r="18" customFormat="false" ht="15" hidden="false" customHeight="false" outlineLevel="0" collapsed="false">
      <c r="A18" s="16" t="s">
        <v>39</v>
      </c>
      <c r="B18" s="8" t="n">
        <f aca="false">SUMIFS(Операции!$E$3:$E$1000,Операции!$B$3:$B$1000,$A18,Операции!$H$3:$H$1000,B$3)</f>
        <v>40400</v>
      </c>
      <c r="C18" s="8" t="n">
        <f aca="false">SUMIFS(Операции!$E$3:$E$1000,Операции!$B$3:$B$1000,$A18,Операции!$H$3:$H$1000,C$3)</f>
        <v>35700</v>
      </c>
      <c r="D18" s="8" t="n">
        <f aca="false">SUMIFS(Операции!$E$3:$E$1000,Операции!$B$3:$B$1000,$A18,Операции!$H$3:$H$1000,D$3)</f>
        <v>37000</v>
      </c>
      <c r="E18" s="8" t="n">
        <f aca="false">SUMIFS(Операции!$E$3:$E$1000,Операции!$B$3:$B$1000,$A18,Операции!$H$3:$H$1000,E$3)</f>
        <v>33500</v>
      </c>
      <c r="F18" s="8" t="n">
        <f aca="false">SUMIFS(Операции!$E$3:$E$1000,Операции!$B$3:$B$1000,$A18,Операции!$H$3:$H$1000,F$3)</f>
        <v>28500</v>
      </c>
      <c r="G18" s="8" t="n">
        <f aca="false">SUMIFS(Операции!$E$3:$E$1000,Операции!$B$3:$B$1000,$A18,Операции!$H$3:$H$1000,G$3)</f>
        <v>35600</v>
      </c>
      <c r="H18" s="8" t="n">
        <f aca="false">SUMIFS(Операции!$E$3:$E$1000,Операции!$B$3:$B$1000,$A18,Операции!$H$3:$H$1000,H$3)</f>
        <v>40300</v>
      </c>
      <c r="I18" s="8" t="n">
        <f aca="false">SUMIFS(Операции!$E$3:$E$1000,Операции!$B$3:$B$1000,$A18,Операции!$H$3:$H$1000,I$3)</f>
        <v>36400</v>
      </c>
      <c r="J18" s="8" t="n">
        <f aca="false">SUMIFS(Операции!$E$3:$E$1000,Операции!$B$3:$B$1000,$A18,Операции!$H$3:$H$1000,J$3)</f>
        <v>35600</v>
      </c>
      <c r="K18" s="8" t="n">
        <f aca="false">SUMIFS(Операции!$E$3:$E$1000,Операции!$B$3:$B$1000,$A18,Операции!$H$3:$H$1000,K$3)</f>
        <v>26200</v>
      </c>
      <c r="L18" s="8" t="n">
        <f aca="false">SUMIFS(Операции!$E$3:$E$1000,Операции!$B$3:$B$1000,$A18,Операции!$H$3:$H$1000,L$3)</f>
        <v>38700</v>
      </c>
      <c r="M18" s="8" t="n">
        <f aca="false">SUMIFS(Операции!$E$3:$E$1000,Операции!$B$3:$B$1000,$A18,Операции!$H$3:$H$1000,M$3)</f>
        <v>42200</v>
      </c>
      <c r="N18" s="10" t="n">
        <f aca="false">SUM(B18:M18)</f>
        <v>430100</v>
      </c>
    </row>
    <row r="19" customFormat="false" ht="15" hidden="false" customHeight="false" outlineLevel="0" collapsed="false">
      <c r="A19" s="16" t="s">
        <v>40</v>
      </c>
      <c r="B19" s="8" t="n">
        <f aca="false">SUMIFS(Операции!$E$3:$E$1000,Операции!$B$3:$B$1000,$A19,Операции!$H$3:$H$1000,B$3)</f>
        <v>13500</v>
      </c>
      <c r="C19" s="8" t="n">
        <f aca="false">SUMIFS(Операции!$E$3:$E$1000,Операции!$B$3:$B$1000,$A19,Операции!$H$3:$H$1000,C$3)</f>
        <v>0</v>
      </c>
      <c r="D19" s="8" t="n">
        <f aca="false">SUMIFS(Операции!$E$3:$E$1000,Операции!$B$3:$B$1000,$A19,Операции!$H$3:$H$1000,D$3)</f>
        <v>32800</v>
      </c>
      <c r="E19" s="8" t="n">
        <f aca="false">SUMIFS(Операции!$E$3:$E$1000,Операции!$B$3:$B$1000,$A19,Операции!$H$3:$H$1000,E$3)</f>
        <v>18700</v>
      </c>
      <c r="F19" s="8" t="n">
        <f aca="false">SUMIFS(Операции!$E$3:$E$1000,Операции!$B$3:$B$1000,$A19,Операции!$H$3:$H$1000,F$3)</f>
        <v>27100</v>
      </c>
      <c r="G19" s="8" t="n">
        <f aca="false">SUMIFS(Операции!$E$3:$E$1000,Операции!$B$3:$B$1000,$A19,Операции!$H$3:$H$1000,G$3)</f>
        <v>10100</v>
      </c>
      <c r="H19" s="8" t="n">
        <f aca="false">SUMIFS(Операции!$E$3:$E$1000,Операции!$B$3:$B$1000,$A19,Операции!$H$3:$H$1000,H$3)</f>
        <v>6700</v>
      </c>
      <c r="I19" s="8" t="n">
        <f aca="false">SUMIFS(Операции!$E$3:$E$1000,Операции!$B$3:$B$1000,$A19,Операции!$H$3:$H$1000,I$3)</f>
        <v>0</v>
      </c>
      <c r="J19" s="8" t="n">
        <f aca="false">SUMIFS(Операции!$E$3:$E$1000,Операции!$B$3:$B$1000,$A19,Операции!$H$3:$H$1000,J$3)</f>
        <v>13800</v>
      </c>
      <c r="K19" s="8" t="n">
        <f aca="false">SUMIFS(Операции!$E$3:$E$1000,Операции!$B$3:$B$1000,$A19,Операции!$H$3:$H$1000,K$3)</f>
        <v>0</v>
      </c>
      <c r="L19" s="8" t="n">
        <f aca="false">SUMIFS(Операции!$E$3:$E$1000,Операции!$B$3:$B$1000,$A19,Операции!$H$3:$H$1000,L$3)</f>
        <v>9700</v>
      </c>
      <c r="M19" s="8" t="n">
        <f aca="false">SUMIFS(Операции!$E$3:$E$1000,Операции!$B$3:$B$1000,$A19,Операции!$H$3:$H$1000,M$3)</f>
        <v>0</v>
      </c>
      <c r="N19" s="10" t="n">
        <f aca="false">SUM(B19:M19)</f>
        <v>132400</v>
      </c>
    </row>
    <row r="20" customFormat="false" ht="15" hidden="false" customHeight="false" outlineLevel="0" collapsed="false">
      <c r="A20" s="16" t="s">
        <v>41</v>
      </c>
      <c r="B20" s="8" t="n">
        <f aca="false">SUMIFS(Операции!$E$3:$E$1000,Операции!$B$3:$B$1000,$A20,Операции!$H$3:$H$1000,B$3)</f>
        <v>12500</v>
      </c>
      <c r="C20" s="8" t="n">
        <f aca="false">SUMIFS(Операции!$E$3:$E$1000,Операции!$B$3:$B$1000,$A20,Операции!$H$3:$H$1000,C$3)</f>
        <v>12500</v>
      </c>
      <c r="D20" s="8" t="n">
        <f aca="false">SUMIFS(Операции!$E$3:$E$1000,Операции!$B$3:$B$1000,$A20,Операции!$H$3:$H$1000,D$3)</f>
        <v>12500</v>
      </c>
      <c r="E20" s="8" t="n">
        <f aca="false">SUMIFS(Операции!$E$3:$E$1000,Операции!$B$3:$B$1000,$A20,Операции!$H$3:$H$1000,E$3)</f>
        <v>12500</v>
      </c>
      <c r="F20" s="8" t="n">
        <f aca="false">SUMIFS(Операции!$E$3:$E$1000,Операции!$B$3:$B$1000,$A20,Операции!$H$3:$H$1000,F$3)</f>
        <v>12500</v>
      </c>
      <c r="G20" s="8" t="n">
        <f aca="false">SUMIFS(Операции!$E$3:$E$1000,Операции!$B$3:$B$1000,$A20,Операции!$H$3:$H$1000,G$3)</f>
        <v>12500</v>
      </c>
      <c r="H20" s="8" t="n">
        <f aca="false">SUMIFS(Операции!$E$3:$E$1000,Операции!$B$3:$B$1000,$A20,Операции!$H$3:$H$1000,H$3)</f>
        <v>12500</v>
      </c>
      <c r="I20" s="8" t="n">
        <f aca="false">SUMIFS(Операции!$E$3:$E$1000,Операции!$B$3:$B$1000,$A20,Операции!$H$3:$H$1000,I$3)</f>
        <v>12500</v>
      </c>
      <c r="J20" s="8" t="n">
        <f aca="false">SUMIFS(Операции!$E$3:$E$1000,Операции!$B$3:$B$1000,$A20,Операции!$H$3:$H$1000,J$3)</f>
        <v>12500</v>
      </c>
      <c r="K20" s="8" t="n">
        <f aca="false">SUMIFS(Операции!$E$3:$E$1000,Операции!$B$3:$B$1000,$A20,Операции!$H$3:$H$1000,K$3)</f>
        <v>12500</v>
      </c>
      <c r="L20" s="8" t="n">
        <f aca="false">SUMIFS(Операции!$E$3:$E$1000,Операции!$B$3:$B$1000,$A20,Операции!$H$3:$H$1000,L$3)</f>
        <v>12500</v>
      </c>
      <c r="M20" s="8" t="n">
        <f aca="false">SUMIFS(Операции!$E$3:$E$1000,Операции!$B$3:$B$1000,$A20,Операции!$H$3:$H$1000,M$3)</f>
        <v>12500</v>
      </c>
      <c r="N20" s="10" t="n">
        <f aca="false">SUM(B20:M20)</f>
        <v>150000</v>
      </c>
    </row>
    <row r="21" customFormat="false" ht="15" hidden="false" customHeight="false" outlineLevel="0" collapsed="false">
      <c r="A21" s="16" t="s">
        <v>42</v>
      </c>
      <c r="B21" s="8" t="n">
        <f aca="false">SUMIFS(Операции!$E$3:$E$1000,Операции!$B$3:$B$1000,$A21,Операции!$H$3:$H$1000,B$3)</f>
        <v>0</v>
      </c>
      <c r="C21" s="8" t="n">
        <f aca="false">SUMIFS(Операции!$E$3:$E$1000,Операции!$B$3:$B$1000,$A21,Операции!$H$3:$H$1000,C$3)</f>
        <v>0</v>
      </c>
      <c r="D21" s="8" t="n">
        <f aca="false">SUMIFS(Операции!$E$3:$E$1000,Операции!$B$3:$B$1000,$A21,Операции!$H$3:$H$1000,D$3)</f>
        <v>0</v>
      </c>
      <c r="E21" s="8" t="n">
        <f aca="false">SUMIFS(Операции!$E$3:$E$1000,Операции!$B$3:$B$1000,$A21,Операции!$H$3:$H$1000,E$3)</f>
        <v>251600</v>
      </c>
      <c r="F21" s="8" t="n">
        <f aca="false">SUMIFS(Операции!$E$3:$E$1000,Операции!$B$3:$B$1000,$A21,Операции!$H$3:$H$1000,F$3)</f>
        <v>0</v>
      </c>
      <c r="G21" s="8" t="n">
        <f aca="false">SUMIFS(Операции!$E$3:$E$1000,Операции!$B$3:$B$1000,$A21,Операции!$H$3:$H$1000,G$3)</f>
        <v>0</v>
      </c>
      <c r="H21" s="8" t="n">
        <f aca="false">SUMIFS(Операции!$E$3:$E$1000,Операции!$B$3:$B$1000,$A21,Операции!$H$3:$H$1000,H$3)</f>
        <v>284400</v>
      </c>
      <c r="I21" s="8" t="n">
        <f aca="false">SUMIFS(Операции!$E$3:$E$1000,Операции!$B$3:$B$1000,$A21,Операции!$H$3:$H$1000,I$3)</f>
        <v>0</v>
      </c>
      <c r="J21" s="8" t="n">
        <f aca="false">SUMIFS(Операции!$E$3:$E$1000,Операции!$B$3:$B$1000,$A21,Операции!$H$3:$H$1000,J$3)</f>
        <v>0</v>
      </c>
      <c r="K21" s="8" t="n">
        <f aca="false">SUMIFS(Операции!$E$3:$E$1000,Операции!$B$3:$B$1000,$A21,Операции!$H$3:$H$1000,K$3)</f>
        <v>312900</v>
      </c>
      <c r="L21" s="8" t="n">
        <f aca="false">SUMIFS(Операции!$E$3:$E$1000,Операции!$B$3:$B$1000,$A21,Операции!$H$3:$H$1000,L$3)</f>
        <v>0</v>
      </c>
      <c r="M21" s="8" t="n">
        <f aca="false">SUMIFS(Операции!$E$3:$E$1000,Операции!$B$3:$B$1000,$A21,Операции!$H$3:$H$1000,M$3)</f>
        <v>371000</v>
      </c>
      <c r="N21" s="10" t="n">
        <f aca="false">SUM(B21:M21)</f>
        <v>1219900</v>
      </c>
    </row>
    <row r="22" customFormat="false" ht="15" hidden="false" customHeight="false" outlineLevel="0" collapsed="false">
      <c r="A22" s="17" t="s">
        <v>192</v>
      </c>
      <c r="B22" s="18" t="n">
        <f aca="false">SUM(B11:B21)</f>
        <v>953100</v>
      </c>
      <c r="C22" s="18" t="n">
        <f aca="false">SUM(C11:C21)</f>
        <v>1024800</v>
      </c>
      <c r="D22" s="18" t="n">
        <f aca="false">SUM(D11:D21)</f>
        <v>1280700</v>
      </c>
      <c r="E22" s="18" t="n">
        <f aca="false">SUM(E11:E21)</f>
        <v>1604200</v>
      </c>
      <c r="F22" s="18" t="n">
        <f aca="false">SUM(F11:F21)</f>
        <v>1019000</v>
      </c>
      <c r="G22" s="18" t="n">
        <f aca="false">SUM(G11:G21)</f>
        <v>1179800</v>
      </c>
      <c r="H22" s="18" t="n">
        <f aca="false">SUM(H11:H21)</f>
        <v>1488700</v>
      </c>
      <c r="I22" s="18" t="n">
        <f aca="false">SUM(I11:I21)</f>
        <v>1314500</v>
      </c>
      <c r="J22" s="18" t="n">
        <f aca="false">SUM(J11:J21)</f>
        <v>1366400</v>
      </c>
      <c r="K22" s="18" t="n">
        <f aca="false">SUM(K11:K21)</f>
        <v>1910200</v>
      </c>
      <c r="L22" s="18" t="n">
        <f aca="false">SUM(L11:L21)</f>
        <v>1554400</v>
      </c>
      <c r="M22" s="18" t="n">
        <f aca="false">SUM(M11:M21)</f>
        <v>1479400</v>
      </c>
      <c r="N22" s="18" t="n">
        <f aca="false">SUM(B22:M22)</f>
        <v>16175200</v>
      </c>
    </row>
    <row r="23" customFormat="false" ht="15" hidden="false" customHeight="false" outlineLevel="0" collapsed="false">
      <c r="A23" s="15" t="s">
        <v>193</v>
      </c>
    </row>
    <row r="24" customFormat="false" ht="15" hidden="false" customHeight="false" outlineLevel="0" collapsed="false">
      <c r="A24" s="16" t="s">
        <v>194</v>
      </c>
      <c r="B24" s="8" t="n">
        <f aca="false">SUM(B11:B14)</f>
        <v>572800</v>
      </c>
      <c r="C24" s="8" t="n">
        <f aca="false">SUM(C11:C14)</f>
        <v>649400</v>
      </c>
      <c r="D24" s="8" t="n">
        <f aca="false">SUM(D11:D14)</f>
        <v>884500</v>
      </c>
      <c r="E24" s="8" t="n">
        <f aca="false">SUM(E11:E14)</f>
        <v>968800</v>
      </c>
      <c r="F24" s="8" t="n">
        <f aca="false">SUM(F11:F14)</f>
        <v>634900</v>
      </c>
      <c r="G24" s="8" t="n">
        <f aca="false">SUM(G11:G14)</f>
        <v>812000</v>
      </c>
      <c r="H24" s="8" t="n">
        <f aca="false">SUM(H11:H14)</f>
        <v>832400</v>
      </c>
      <c r="I24" s="8" t="n">
        <f aca="false">SUM(I11:I14)</f>
        <v>949900</v>
      </c>
      <c r="J24" s="8" t="n">
        <f aca="false">SUM(J11:J14)</f>
        <v>989800</v>
      </c>
      <c r="K24" s="8" t="n">
        <f aca="false">SUM(K11:K14)</f>
        <v>1241500</v>
      </c>
      <c r="L24" s="8" t="n">
        <f aca="false">SUM(L11:L14)</f>
        <v>1180000</v>
      </c>
      <c r="M24" s="8" t="n">
        <f aca="false">SUM(M11:M14)</f>
        <v>728100</v>
      </c>
      <c r="N24" s="10" t="n">
        <f aca="false">SUM(B24:M24)</f>
        <v>10444100</v>
      </c>
    </row>
    <row r="25" customFormat="false" ht="15" hidden="false" customHeight="false" outlineLevel="0" collapsed="false">
      <c r="A25" s="16" t="s">
        <v>195</v>
      </c>
      <c r="B25" s="8" t="n">
        <f aca="false">B9-B24</f>
        <v>573400</v>
      </c>
      <c r="C25" s="8" t="n">
        <f aca="false">C9-C24</f>
        <v>599000</v>
      </c>
      <c r="D25" s="8" t="n">
        <f aca="false">D9-D24</f>
        <v>914900</v>
      </c>
      <c r="E25" s="8" t="n">
        <f aca="false">E9-E24</f>
        <v>900100</v>
      </c>
      <c r="F25" s="8" t="n">
        <f aca="false">F9-F24</f>
        <v>613000</v>
      </c>
      <c r="G25" s="8" t="n">
        <f aca="false">G9-G24</f>
        <v>811400</v>
      </c>
      <c r="H25" s="8" t="n">
        <f aca="false">H9-H24</f>
        <v>790800</v>
      </c>
      <c r="I25" s="8" t="n">
        <f aca="false">I9-I24</f>
        <v>822100</v>
      </c>
      <c r="J25" s="8" t="n">
        <f aca="false">J9-J24</f>
        <v>829400</v>
      </c>
      <c r="K25" s="8" t="n">
        <f aca="false">K9-K24</f>
        <v>1128700</v>
      </c>
      <c r="L25" s="8" t="n">
        <f aca="false">L9-L24</f>
        <v>1231400</v>
      </c>
      <c r="M25" s="8" t="n">
        <f aca="false">M9-M24</f>
        <v>673100</v>
      </c>
      <c r="N25" s="10" t="n">
        <f aca="false">SUM(B25:M25)</f>
        <v>9887300</v>
      </c>
    </row>
    <row r="26" customFormat="false" ht="15" hidden="false" customHeight="false" outlineLevel="0" collapsed="false">
      <c r="A26" s="17" t="s">
        <v>3</v>
      </c>
      <c r="B26" s="18" t="n">
        <f aca="false">B9-B22</f>
        <v>193100</v>
      </c>
      <c r="C26" s="18" t="n">
        <f aca="false">C9-C22</f>
        <v>223600</v>
      </c>
      <c r="D26" s="18" t="n">
        <f aca="false">D9-D22</f>
        <v>518700</v>
      </c>
      <c r="E26" s="18" t="n">
        <f aca="false">E9-E22</f>
        <v>264700</v>
      </c>
      <c r="F26" s="18" t="n">
        <f aca="false">F9-F22</f>
        <v>228900</v>
      </c>
      <c r="G26" s="18" t="n">
        <f aca="false">G9-G22</f>
        <v>443600</v>
      </c>
      <c r="H26" s="18" t="n">
        <f aca="false">H9-H22</f>
        <v>134500</v>
      </c>
      <c r="I26" s="18" t="n">
        <f aca="false">I9-I22</f>
        <v>457500</v>
      </c>
      <c r="J26" s="18" t="n">
        <f aca="false">J9-J22</f>
        <v>452800</v>
      </c>
      <c r="K26" s="18" t="n">
        <f aca="false">K9-K22</f>
        <v>460000</v>
      </c>
      <c r="L26" s="18" t="n">
        <f aca="false">L9-L22</f>
        <v>857000</v>
      </c>
      <c r="M26" s="18" t="n">
        <f aca="false">M9-M22</f>
        <v>-78200</v>
      </c>
      <c r="N26" s="18" t="n">
        <f aca="false">SUM(B26:M26)</f>
        <v>4156200</v>
      </c>
    </row>
    <row r="27" customFormat="false" ht="15" hidden="false" customHeight="false" outlineLevel="0" collapsed="false">
      <c r="A27" s="16" t="s">
        <v>4</v>
      </c>
      <c r="B27" s="19" t="n">
        <f aca="false">IF(B9=0,0,B26/B9)</f>
        <v>0.1684697260513</v>
      </c>
      <c r="C27" s="19" t="n">
        <f aca="false">IF(C9=0,0,C26/C9)</f>
        <v>0.179109259852611</v>
      </c>
      <c r="D27" s="19" t="n">
        <f aca="false">IF(D9=0,0,D26/D9)</f>
        <v>0.288262754251417</v>
      </c>
      <c r="E27" s="19" t="n">
        <f aca="false">IF(E9=0,0,E26/E9)</f>
        <v>0.141634116325111</v>
      </c>
      <c r="F27" s="19" t="n">
        <f aca="false">IF(F9=0,0,F26/F9)</f>
        <v>0.183428159307637</v>
      </c>
      <c r="G27" s="19" t="n">
        <f aca="false">IF(G9=0,0,G26/G9)</f>
        <v>0.273253665147222</v>
      </c>
      <c r="H27" s="19" t="n">
        <f aca="false">IF(H9=0,0,H26/H9)</f>
        <v>0.0828610152784623</v>
      </c>
      <c r="I27" s="19" t="n">
        <f aca="false">IF(I9=0,0,I26/I9)</f>
        <v>0.258182844243792</v>
      </c>
      <c r="J27" s="19" t="n">
        <f aca="false">IF(J9=0,0,J26/J9)</f>
        <v>0.248900615655233</v>
      </c>
      <c r="K27" s="19" t="n">
        <f aca="false">IF(K9=0,0,K26/K9)</f>
        <v>0.194076449244789</v>
      </c>
      <c r="L27" s="19" t="n">
        <f aca="false">IF(L9=0,0,L26/L9)</f>
        <v>0.355395206104338</v>
      </c>
      <c r="M27" s="19" t="n">
        <f aca="false">IF(M9=0,0,M26/M9)</f>
        <v>-0.0558093063088781</v>
      </c>
      <c r="N27" s="20" t="n">
        <f aca="false">IF(N9=0,0,N26/N9)</f>
        <v>0.204422715602467</v>
      </c>
    </row>
    <row r="28" customFormat="false" ht="15" hidden="false" customHeight="false" outlineLevel="0" collapsed="false">
      <c r="A28" s="3" t="s">
        <v>196</v>
      </c>
      <c r="B28" s="10" t="n">
        <f aca="false">Справочники!$H$7+SUM($B26:B26)</f>
        <v>708100</v>
      </c>
      <c r="C28" s="10" t="n">
        <f aca="false">Справочники!$H$7+SUM($B26:C26)</f>
        <v>931700</v>
      </c>
      <c r="D28" s="10" t="n">
        <f aca="false">Справочники!$H$7+SUM($B26:D26)</f>
        <v>1450400</v>
      </c>
      <c r="E28" s="10" t="n">
        <f aca="false">Справочники!$H$7+SUM($B26:E26)</f>
        <v>1715100</v>
      </c>
      <c r="F28" s="10" t="n">
        <f aca="false">Справочники!$H$7+SUM($B26:F26)</f>
        <v>1944000</v>
      </c>
      <c r="G28" s="10" t="n">
        <f aca="false">Справочники!$H$7+SUM($B26:G26)</f>
        <v>2387600</v>
      </c>
      <c r="H28" s="10" t="n">
        <f aca="false">Справочники!$H$7+SUM($B26:H26)</f>
        <v>2522100</v>
      </c>
      <c r="I28" s="10" t="n">
        <f aca="false">Справочники!$H$7+SUM($B26:I26)</f>
        <v>2979600</v>
      </c>
      <c r="J28" s="10" t="n">
        <f aca="false">Справочники!$H$7+SUM($B26:J26)</f>
        <v>3432400</v>
      </c>
      <c r="K28" s="10" t="n">
        <f aca="false">Справочники!$H$7+SUM($B26:K26)</f>
        <v>3892400</v>
      </c>
      <c r="L28" s="10" t="n">
        <f aca="false">Справочники!$H$7+SUM($B26:L26)</f>
        <v>4749400</v>
      </c>
      <c r="M28" s="10" t="n">
        <f aca="false">Справочники!$H$7+SUM($B26:M26)</f>
        <v>4671200</v>
      </c>
      <c r="N28" s="10" t="n">
        <f aca="false">M28</f>
        <v>4671200</v>
      </c>
    </row>
    <row r="30" customFormat="false" ht="15" hidden="false" customHeight="false" outlineLevel="0" collapsed="false">
      <c r="A30" s="15" t="s">
        <v>197</v>
      </c>
    </row>
    <row r="31" customFormat="false" ht="15" hidden="false" customHeight="false" outlineLevel="0" collapsed="false">
      <c r="A31" s="16" t="s">
        <v>21</v>
      </c>
      <c r="B31" s="8" t="n">
        <f aca="false">SUMIFS(Операции!$E$3:$E$1000,Операции!$C$3:$C$1000,$A31,Операции!$G$3:$G$1000,"Доход",Операции!$H$3:$H$1000,B$3)</f>
        <v>820300</v>
      </c>
      <c r="C31" s="8" t="n">
        <f aca="false">SUMIFS(Операции!$E$3:$E$1000,Операции!$C$3:$C$1000,$A31,Операции!$G$3:$G$1000,"Доход",Операции!$H$3:$H$1000,C$3)</f>
        <v>658700</v>
      </c>
      <c r="D31" s="8" t="n">
        <f aca="false">SUMIFS(Операции!$E$3:$E$1000,Операции!$C$3:$C$1000,$A31,Операции!$G$3:$G$1000,"Доход",Операции!$H$3:$H$1000,D$3)</f>
        <v>1016600</v>
      </c>
      <c r="E31" s="8" t="n">
        <f aca="false">SUMIFS(Операции!$E$3:$E$1000,Операции!$C$3:$C$1000,$A31,Операции!$G$3:$G$1000,"Доход",Операции!$H$3:$H$1000,E$3)</f>
        <v>1183800</v>
      </c>
      <c r="F31" s="8" t="n">
        <f aca="false">SUMIFS(Операции!$E$3:$E$1000,Операции!$C$3:$C$1000,$A31,Операции!$G$3:$G$1000,"Доход",Операции!$H$3:$H$1000,F$3)</f>
        <v>713300</v>
      </c>
      <c r="G31" s="8" t="n">
        <f aca="false">SUMIFS(Операции!$E$3:$E$1000,Операции!$C$3:$C$1000,$A31,Операции!$G$3:$G$1000,"Доход",Операции!$H$3:$H$1000,G$3)</f>
        <v>931000</v>
      </c>
      <c r="H31" s="8" t="n">
        <f aca="false">SUMIFS(Операции!$E$3:$E$1000,Операции!$C$3:$C$1000,$A31,Операции!$G$3:$G$1000,"Доход",Операции!$H$3:$H$1000,H$3)</f>
        <v>1077100</v>
      </c>
      <c r="I31" s="8" t="n">
        <f aca="false">SUMIFS(Операции!$E$3:$E$1000,Операции!$C$3:$C$1000,$A31,Операции!$G$3:$G$1000,"Доход",Операции!$H$3:$H$1000,I$3)</f>
        <v>1125700</v>
      </c>
      <c r="J31" s="8" t="n">
        <f aca="false">SUMIFS(Операции!$E$3:$E$1000,Операции!$C$3:$C$1000,$A31,Операции!$G$3:$G$1000,"Доход",Операции!$H$3:$H$1000,J$3)</f>
        <v>1191200</v>
      </c>
      <c r="K31" s="8" t="n">
        <f aca="false">SUMIFS(Операции!$E$3:$E$1000,Операции!$C$3:$C$1000,$A31,Операции!$G$3:$G$1000,"Доход",Операции!$H$3:$H$1000,K$3)</f>
        <v>1383100</v>
      </c>
      <c r="L31" s="8" t="n">
        <f aca="false">SUMIFS(Операции!$E$3:$E$1000,Операции!$C$3:$C$1000,$A31,Операции!$G$3:$G$1000,"Доход",Операции!$H$3:$H$1000,L$3)</f>
        <v>1388600</v>
      </c>
      <c r="M31" s="8" t="n">
        <f aca="false">SUMIFS(Операции!$E$3:$E$1000,Операции!$C$3:$C$1000,$A31,Операции!$G$3:$G$1000,"Доход",Операции!$H$3:$H$1000,M$3)</f>
        <v>765800</v>
      </c>
      <c r="N31" s="10" t="n">
        <f aca="false">SUM(B31:M31)</f>
        <v>12255200</v>
      </c>
    </row>
    <row r="32" customFormat="false" ht="15" hidden="false" customHeight="false" outlineLevel="0" collapsed="false">
      <c r="A32" s="16" t="s">
        <v>24</v>
      </c>
      <c r="B32" s="8" t="n">
        <f aca="false">SUMIFS(Операции!$E$3:$E$1000,Операции!$C$3:$C$1000,$A32,Операции!$G$3:$G$1000,"Доход",Операции!$H$3:$H$1000,B$3)</f>
        <v>302800</v>
      </c>
      <c r="C32" s="8" t="n">
        <f aca="false">SUMIFS(Операции!$E$3:$E$1000,Операции!$C$3:$C$1000,$A32,Операции!$G$3:$G$1000,"Доход",Операции!$H$3:$H$1000,C$3)</f>
        <v>495800</v>
      </c>
      <c r="D32" s="8" t="n">
        <f aca="false">SUMIFS(Операции!$E$3:$E$1000,Операции!$C$3:$C$1000,$A32,Операции!$G$3:$G$1000,"Доход",Операции!$H$3:$H$1000,D$3)</f>
        <v>713400</v>
      </c>
      <c r="E32" s="8" t="n">
        <f aca="false">SUMIFS(Операции!$E$3:$E$1000,Операции!$C$3:$C$1000,$A32,Операции!$G$3:$G$1000,"Доход",Операции!$H$3:$H$1000,E$3)</f>
        <v>622200</v>
      </c>
      <c r="F32" s="8" t="n">
        <f aca="false">SUMIFS(Операции!$E$3:$E$1000,Операции!$C$3:$C$1000,$A32,Операции!$G$3:$G$1000,"Доход",Операции!$H$3:$H$1000,F$3)</f>
        <v>446400</v>
      </c>
      <c r="G32" s="8" t="n">
        <f aca="false">SUMIFS(Операции!$E$3:$E$1000,Операции!$C$3:$C$1000,$A32,Операции!$G$3:$G$1000,"Доход",Операции!$H$3:$H$1000,G$3)</f>
        <v>630300</v>
      </c>
      <c r="H32" s="8" t="n">
        <f aca="false">SUMIFS(Операции!$E$3:$E$1000,Операции!$C$3:$C$1000,$A32,Операции!$G$3:$G$1000,"Доход",Операции!$H$3:$H$1000,H$3)</f>
        <v>442900</v>
      </c>
      <c r="I32" s="8" t="n">
        <f aca="false">SUMIFS(Операции!$E$3:$E$1000,Операции!$C$3:$C$1000,$A32,Операции!$G$3:$G$1000,"Доход",Операции!$H$3:$H$1000,I$3)</f>
        <v>502700</v>
      </c>
      <c r="J32" s="8" t="n">
        <f aca="false">SUMIFS(Операции!$E$3:$E$1000,Операции!$C$3:$C$1000,$A32,Операции!$G$3:$G$1000,"Доход",Операции!$H$3:$H$1000,J$3)</f>
        <v>558200</v>
      </c>
      <c r="K32" s="8" t="n">
        <f aca="false">SUMIFS(Операции!$E$3:$E$1000,Операции!$C$3:$C$1000,$A32,Операции!$G$3:$G$1000,"Доход",Операции!$H$3:$H$1000,K$3)</f>
        <v>865300</v>
      </c>
      <c r="L32" s="8" t="n">
        <f aca="false">SUMIFS(Операции!$E$3:$E$1000,Операции!$C$3:$C$1000,$A32,Операции!$G$3:$G$1000,"Доход",Операции!$H$3:$H$1000,L$3)</f>
        <v>846900</v>
      </c>
      <c r="M32" s="8" t="n">
        <f aca="false">SUMIFS(Операции!$E$3:$E$1000,Операции!$C$3:$C$1000,$A32,Операции!$G$3:$G$1000,"Доход",Операции!$H$3:$H$1000,M$3)</f>
        <v>582700</v>
      </c>
      <c r="N32" s="10" t="n">
        <f aca="false">SUM(B32:M32)</f>
        <v>7009600</v>
      </c>
    </row>
    <row r="33" customFormat="false" ht="15" hidden="false" customHeight="false" outlineLevel="0" collapsed="false">
      <c r="A33" s="16" t="s">
        <v>26</v>
      </c>
      <c r="B33" s="8" t="n">
        <f aca="false">SUMIFS(Операции!$E$3:$E$1000,Операции!$C$3:$C$1000,$A33,Операции!$G$3:$G$1000,"Доход",Операции!$H$3:$H$1000,B$3)</f>
        <v>23100</v>
      </c>
      <c r="C33" s="8" t="n">
        <f aca="false">SUMIFS(Операции!$E$3:$E$1000,Операции!$C$3:$C$1000,$A33,Операции!$G$3:$G$1000,"Доход",Операции!$H$3:$H$1000,C$3)</f>
        <v>93900</v>
      </c>
      <c r="D33" s="8" t="n">
        <f aca="false">SUMIFS(Операции!$E$3:$E$1000,Операции!$C$3:$C$1000,$A33,Операции!$G$3:$G$1000,"Доход",Операции!$H$3:$H$1000,D$3)</f>
        <v>69400</v>
      </c>
      <c r="E33" s="8" t="n">
        <f aca="false">SUMIFS(Операции!$E$3:$E$1000,Операции!$C$3:$C$1000,$A33,Операции!$G$3:$G$1000,"Доход",Операции!$H$3:$H$1000,E$3)</f>
        <v>62900</v>
      </c>
      <c r="F33" s="8" t="n">
        <f aca="false">SUMIFS(Операции!$E$3:$E$1000,Операции!$C$3:$C$1000,$A33,Операции!$G$3:$G$1000,"Доход",Операции!$H$3:$H$1000,F$3)</f>
        <v>88200</v>
      </c>
      <c r="G33" s="8" t="n">
        <f aca="false">SUMIFS(Операции!$E$3:$E$1000,Операции!$C$3:$C$1000,$A33,Операции!$G$3:$G$1000,"Доход",Операции!$H$3:$H$1000,G$3)</f>
        <v>62100</v>
      </c>
      <c r="H33" s="8" t="n">
        <f aca="false">SUMIFS(Операции!$E$3:$E$1000,Операции!$C$3:$C$1000,$A33,Операции!$G$3:$G$1000,"Доход",Операции!$H$3:$H$1000,H$3)</f>
        <v>103200</v>
      </c>
      <c r="I33" s="8" t="n">
        <f aca="false">SUMIFS(Операции!$E$3:$E$1000,Операции!$C$3:$C$1000,$A33,Операции!$G$3:$G$1000,"Доход",Операции!$H$3:$H$1000,I$3)</f>
        <v>143600</v>
      </c>
      <c r="J33" s="8" t="n">
        <f aca="false">SUMIFS(Операции!$E$3:$E$1000,Операции!$C$3:$C$1000,$A33,Операции!$G$3:$G$1000,"Доход",Операции!$H$3:$H$1000,J$3)</f>
        <v>69800</v>
      </c>
      <c r="K33" s="8" t="n">
        <f aca="false">SUMIFS(Операции!$E$3:$E$1000,Операции!$C$3:$C$1000,$A33,Операции!$G$3:$G$1000,"Доход",Операции!$H$3:$H$1000,K$3)</f>
        <v>121800</v>
      </c>
      <c r="L33" s="8" t="n">
        <f aca="false">SUMIFS(Операции!$E$3:$E$1000,Операции!$C$3:$C$1000,$A33,Операции!$G$3:$G$1000,"Доход",Операции!$H$3:$H$1000,L$3)</f>
        <v>175900</v>
      </c>
      <c r="M33" s="8" t="n">
        <f aca="false">SUMIFS(Операции!$E$3:$E$1000,Операции!$C$3:$C$1000,$A33,Операции!$G$3:$G$1000,"Доход",Операции!$H$3:$H$1000,M$3)</f>
        <v>52700</v>
      </c>
      <c r="N33" s="10" t="n">
        <f aca="false">SUM(B33:M33)</f>
        <v>1066600</v>
      </c>
    </row>
    <row r="35" customFormat="false" ht="15" hidden="false" customHeight="false" outlineLevel="0" collapsed="false">
      <c r="A35" s="15" t="s">
        <v>198</v>
      </c>
    </row>
    <row r="36" customFormat="false" ht="15" hidden="false" customHeight="false" outlineLevel="0" collapsed="false">
      <c r="A36" s="16" t="s">
        <v>199</v>
      </c>
      <c r="B36" s="21" t="n">
        <f aca="false">COUNTIFS(Операции!$G$3:$G$1000,"нет в справочнике",Операции!$H$3:$H$1000,B$3)</f>
        <v>0</v>
      </c>
      <c r="C36" s="21" t="n">
        <f aca="false">COUNTIFS(Операции!$G$3:$G$1000,"нет в справочнике",Операции!$H$3:$H$1000,C$3)</f>
        <v>0</v>
      </c>
      <c r="D36" s="21" t="n">
        <f aca="false">COUNTIFS(Операции!$G$3:$G$1000,"нет в справочнике",Операции!$H$3:$H$1000,D$3)</f>
        <v>0</v>
      </c>
      <c r="E36" s="21" t="n">
        <f aca="false">COUNTIFS(Операции!$G$3:$G$1000,"нет в справочнике",Операции!$H$3:$H$1000,E$3)</f>
        <v>0</v>
      </c>
      <c r="F36" s="21" t="n">
        <f aca="false">COUNTIFS(Операции!$G$3:$G$1000,"нет в справочнике",Операции!$H$3:$H$1000,F$3)</f>
        <v>0</v>
      </c>
      <c r="G36" s="21" t="n">
        <f aca="false">COUNTIFS(Операции!$G$3:$G$1000,"нет в справочнике",Операции!$H$3:$H$1000,G$3)</f>
        <v>0</v>
      </c>
      <c r="H36" s="21" t="n">
        <f aca="false">COUNTIFS(Операции!$G$3:$G$1000,"нет в справочнике",Операции!$H$3:$H$1000,H$3)</f>
        <v>0</v>
      </c>
      <c r="I36" s="21" t="n">
        <f aca="false">COUNTIFS(Операции!$G$3:$G$1000,"нет в справочнике",Операции!$H$3:$H$1000,I$3)</f>
        <v>0</v>
      </c>
      <c r="J36" s="21" t="n">
        <f aca="false">COUNTIFS(Операции!$G$3:$G$1000,"нет в справочнике",Операции!$H$3:$H$1000,J$3)</f>
        <v>0</v>
      </c>
      <c r="K36" s="21" t="n">
        <f aca="false">COUNTIFS(Операции!$G$3:$G$1000,"нет в справочнике",Операции!$H$3:$H$1000,K$3)</f>
        <v>0</v>
      </c>
      <c r="L36" s="21" t="n">
        <f aca="false">COUNTIFS(Операции!$G$3:$G$1000,"нет в справочнике",Операции!$H$3:$H$1000,L$3)</f>
        <v>0</v>
      </c>
      <c r="M36" s="21" t="n">
        <f aca="false">COUNTIFS(Операции!$G$3:$G$1000,"нет в справочнике",Операции!$H$3:$H$1000,M$3)</f>
        <v>0</v>
      </c>
      <c r="N36" s="22" t="n">
        <f aca="false">SUM(B36:M36)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2026-10-23T23:35:17Z</dcterms:created>
  <dc:creator>openpyxl</dc:creator>
  <dc:description/>
  <dc:language>en-US</dc:language>
  <cp:lastModifiedBy/>
  <dcterms:modified xsi:type="dcterms:W3CDTF">2026-10-23T23:35:17Z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